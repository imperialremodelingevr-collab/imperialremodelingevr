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Bitacora" sheetId="2" state="visible" r:id="rId4"/>
    <sheet name="Fases" sheetId="3" state="visible" r:id="rId5"/>
    <sheet name="Financiamiento" sheetId="4" state="visible" r:id="rId6"/>
    <sheet name="Gananci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<sst xmlns="http://schemas.openxmlformats.org/spreadsheetml/2006/main" count="350" uniqueCount="222">
  <si>
    <t xml:space="preserve">IMPERIAL REMODELING — EVR</t>
  </si>
  <si>
    <t xml:space="preserve">Bitácora de Obra — Proyecto de Inversión (Flip)</t>
  </si>
  <si>
    <t xml:space="preserve">Propiedad:</t>
  </si>
  <si>
    <t xml:space="preserve">2405 Landershire Ln, Plano, TX 75023</t>
  </si>
  <si>
    <t xml:space="preserve">Tipo de proyecto:</t>
  </si>
  <si>
    <t xml:space="preserve">Casa de inversión (flip)</t>
  </si>
  <si>
    <t xml:space="preserve">Fecha de firma de contrato:</t>
  </si>
  <si>
    <t xml:space="preserve">Inicio de trabajos:</t>
  </si>
  <si>
    <t xml:space="preserve">Última actualización de bitácora:</t>
  </si>
  <si>
    <t xml:space="preserve">Duración total del proyecto (días, contrato a hoy):</t>
  </si>
  <si>
    <t xml:space="preserve">Total de entradas registradas en bitácora:</t>
  </si>
  <si>
    <t xml:space="preserve">Nota: algunos términos de la hoja Bitácora quedaron marcados como "término por confirmar" y se interpretaron según el contexto de la obra. Favor de confirmarlos.</t>
  </si>
  <si>
    <t xml:space="preserve">Bitácora diaria — 2405 Landershire Ln, Plano, TX 75023</t>
  </si>
  <si>
    <t xml:space="preserve">Fecha</t>
  </si>
  <si>
    <t xml:space="preserve">Día</t>
  </si>
  <si>
    <t xml:space="preserve">Fase</t>
  </si>
  <si>
    <t xml:space="preserve">Actividad</t>
  </si>
  <si>
    <t xml:space="preserve">Notas</t>
  </si>
  <si>
    <t xml:space="preserve">Lunes</t>
  </si>
  <si>
    <t xml:space="preserve">Contrato</t>
  </si>
  <si>
    <t xml:space="preserve">Firma de contrato de la inversión</t>
  </si>
  <si>
    <t xml:space="preserve">Miércoles</t>
  </si>
  <si>
    <t xml:space="preserve">Exterior</t>
  </si>
  <si>
    <t xml:space="preserve">Jardinería y limpieza de arbustos en el exterior</t>
  </si>
  <si>
    <t xml:space="preserve">Jueves</t>
  </si>
  <si>
    <t xml:space="preserve">Demolición</t>
  </si>
  <si>
    <t xml:space="preserve">Demolición interior: cocina, baños y pisos</t>
  </si>
  <si>
    <t xml:space="preserve">Viernes</t>
  </si>
  <si>
    <t xml:space="preserve">Demolición de pisos y paredes</t>
  </si>
  <si>
    <t xml:space="preserve">Sábado</t>
  </si>
  <si>
    <t xml:space="preserve">Eléctrico</t>
  </si>
  <si>
    <t xml:space="preserve">Modificación de ventanas y electricidad</t>
  </si>
  <si>
    <t xml:space="preserve">Interpretado como ventanas (término por confirmar)</t>
  </si>
  <si>
    <t xml:space="preserve">Domingo</t>
  </si>
  <si>
    <t xml:space="preserve">Limpieza</t>
  </si>
  <si>
    <t xml:space="preserve">Retiro de basura y escombro</t>
  </si>
  <si>
    <t xml:space="preserve">Se trabajó aunque era domingo</t>
  </si>
  <si>
    <t xml:space="preserve">Electricidad y detalles</t>
  </si>
  <si>
    <t xml:space="preserve">Martes</t>
  </si>
  <si>
    <t xml:space="preserve">Electricidad y detalles (continuación)</t>
  </si>
  <si>
    <t xml:space="preserve">Detalles y trabajo de madera</t>
  </si>
  <si>
    <t xml:space="preserve">Electricidad y conexión a tierra (grounding)</t>
  </si>
  <si>
    <t xml:space="preserve">Término por confirmar</t>
  </si>
  <si>
    <t xml:space="preserve">Fundación</t>
  </si>
  <si>
    <t xml:space="preserve">Fundación de la casa — día 1</t>
  </si>
  <si>
    <t xml:space="preserve">Fundación — día 2</t>
  </si>
  <si>
    <t xml:space="preserve">Descanso</t>
  </si>
  <si>
    <t xml:space="preserve">Descanso (domingo)</t>
  </si>
  <si>
    <t xml:space="preserve">Drywall</t>
  </si>
  <si>
    <t xml:space="preserve">Instalación de tablaroca (Sheetrock) y detalle de masa y cinta</t>
  </si>
  <si>
    <t xml:space="preserve">Baños</t>
  </si>
  <si>
    <t xml:space="preserve">Preparación e inicio de trabajo en baños</t>
  </si>
  <si>
    <t xml:space="preserve">Instalación de cinta/tape en paredes y techos</t>
  </si>
  <si>
    <t xml:space="preserve">Plomería</t>
  </si>
  <si>
    <t xml:space="preserve">Plomería de la casa</t>
  </si>
  <si>
    <t xml:space="preserve">Se pagó $450 por la inspección de plomería</t>
  </si>
  <si>
    <t xml:space="preserve">Plomería de drenaje y fundación</t>
  </si>
  <si>
    <t xml:space="preserve">Plomería y detalles</t>
  </si>
  <si>
    <t xml:space="preserve">Trabajo con herramientas y detalles de madera exterior</t>
  </si>
  <si>
    <t xml:space="preserve">Túneles y fundación para plomería de la mitad de la casa; inicio de exterior y madera</t>
  </si>
  <si>
    <t xml:space="preserve">Trabajo exterior y detalles de masa</t>
  </si>
  <si>
    <t xml:space="preserve">Trabajo exterior y detalles de masa (continuación)</t>
  </si>
  <si>
    <t xml:space="preserve">Carpintería</t>
  </si>
  <si>
    <t xml:space="preserve">Carpintería (trabajo corrido)</t>
  </si>
  <si>
    <t xml:space="preserve">Descanso — no se trabajó</t>
  </si>
  <si>
    <t xml:space="preserve">Exterior, masa interior y reparaciones para pintura</t>
  </si>
  <si>
    <t xml:space="preserve">Pintura</t>
  </si>
  <si>
    <t xml:space="preserve">Detalles de pintura</t>
  </si>
  <si>
    <t xml:space="preserve">Pintura; inicio de primer (primera capa) de acabados</t>
  </si>
  <si>
    <t xml:space="preserve">Reparaciones y pintura</t>
  </si>
  <si>
    <t xml:space="preserve">Detalles de primer en el exterior</t>
  </si>
  <si>
    <t xml:space="preserve">Pintura del exterior</t>
  </si>
  <si>
    <t xml:space="preserve">Descanso (domingo) — no se trabajó</t>
  </si>
  <si>
    <t xml:space="preserve">Pintura y detalles del exterior (terminada)</t>
  </si>
  <si>
    <t xml:space="preserve">Marketing</t>
  </si>
  <si>
    <t xml:space="preserve">Búsqueda de materiales; primer día de fotos con la realtor</t>
  </si>
  <si>
    <t xml:space="preserve">Retoques de masa interior</t>
  </si>
  <si>
    <t xml:space="preserve">General</t>
  </si>
  <si>
    <t xml:space="preserve">Trabajo en solitario</t>
  </si>
  <si>
    <t xml:space="preserve">Gabinetes</t>
  </si>
  <si>
    <t xml:space="preserve">Primera capa (primer) de pintura en gabinetes</t>
  </si>
  <si>
    <t xml:space="preserve">Pintura de gabinetes; instalación de repisas/closet y acabados</t>
  </si>
  <si>
    <t xml:space="preserve">Corregido: antes se tenía como día de trabajo</t>
  </si>
  <si>
    <t xml:space="preserve">Gabinetes y detalles</t>
  </si>
  <si>
    <t xml:space="preserve">Azulejo</t>
  </si>
  <si>
    <t xml:space="preserve">Detalles de pintura y lechada (grout) en instalación de azulejo</t>
  </si>
  <si>
    <t xml:space="preserve">Techo</t>
  </si>
  <si>
    <t xml:space="preserve">Reparaciones y terminaciones</t>
  </si>
  <si>
    <t xml:space="preserve">Piso</t>
  </si>
  <si>
    <t xml:space="preserve">Instalación de piso laminado</t>
  </si>
  <si>
    <t xml:space="preserve">Instalación de piso laminado (día 2)</t>
  </si>
  <si>
    <t xml:space="preserve">Piso laminado; inicio de instalación de cuarzo (meseta) en baños y cocina</t>
  </si>
  <si>
    <t xml:space="preserve">Molduras</t>
  </si>
  <si>
    <t xml:space="preserve">Instalación de trim y molduras</t>
  </si>
  <si>
    <t xml:space="preserve">Instalación de trim; adaptación del water heater (se subió de altura)</t>
  </si>
  <si>
    <t xml:space="preserve">Cocina</t>
  </si>
  <si>
    <t xml:space="preserve">Inicio de backsplash de cocina</t>
  </si>
  <si>
    <t xml:space="preserve">Terminación de backsplash de cocina</t>
  </si>
  <si>
    <t xml:space="preserve">Jardín</t>
  </si>
  <si>
    <t xml:space="preserve">Detalles; inicio de preparación y trabajo de jardinería exterior</t>
  </si>
  <si>
    <t xml:space="preserve">Garaje</t>
  </si>
  <si>
    <t xml:space="preserve">Inicio de reparaciones en el garaje</t>
  </si>
  <si>
    <t xml:space="preserve">Acabados</t>
  </si>
  <si>
    <t xml:space="preserve">Feriado (Labor Day); trabajo de detalles</t>
  </si>
  <si>
    <t xml:space="preserve">Segundo día de trabajo en garaje y jardinería exterior</t>
  </si>
  <si>
    <t xml:space="preserve">Renta de equipo/maquinaria para remover tierra</t>
  </si>
  <si>
    <t xml:space="preserve">Pagos</t>
  </si>
  <si>
    <t xml:space="preserve">Detalles finales; pago a trabajadores</t>
  </si>
  <si>
    <t xml:space="preserve">A partir de este día, equipo reducido hasta terminar; pagos finales a trabajadores</t>
  </si>
  <si>
    <t xml:space="preserve">Epoxi</t>
  </si>
  <si>
    <t xml:space="preserve">Instalación de piso epoxi en el garaje</t>
  </si>
  <si>
    <t xml:space="preserve">Detalles y terminaciones de interior y exterior</t>
  </si>
  <si>
    <t xml:space="preserve">Pintura de stain en la cerca; acabados de interior; jardinería</t>
  </si>
  <si>
    <t xml:space="preserve">Terminación de acabados; inicio de limpieza interior de la propiedad</t>
  </si>
  <si>
    <t xml:space="preserve">Últimos detalles; instalación de nuevo buzón; nuevo pasillo exterior de entrada; inicio del staging (amueblado) de la casa por parte de la realtor</t>
  </si>
  <si>
    <t xml:space="preserve">Últimas terminaciones: recolección/limpieza, pintura de resurf en la tina, reparación de concreto exterior y últimos acabados del buzón</t>
  </si>
  <si>
    <t xml:space="preserve">Venta</t>
  </si>
  <si>
    <t xml:space="preserve">Primer día de open house (casa abierta al público); compra de espejos para los baños</t>
  </si>
  <si>
    <t xml:space="preserve">Resumen por fase de construcción</t>
  </si>
  <si>
    <t xml:space="preserve">Fecha inicio</t>
  </si>
  <si>
    <t xml:space="preserve">Fecha fin</t>
  </si>
  <si>
    <t xml:space="preserve">Duración (días)</t>
  </si>
  <si>
    <t xml:space="preserve">Preparación exterior (jardinería)</t>
  </si>
  <si>
    <t xml:space="preserve">Eléctrico y limpieza</t>
  </si>
  <si>
    <t xml:space="preserve">Fundación (etapa 1)</t>
  </si>
  <si>
    <t xml:space="preserve">Drywall y baños</t>
  </si>
  <si>
    <t xml:space="preserve">Fundación del túnel y exterior</t>
  </si>
  <si>
    <t xml:space="preserve">Pintura exterior</t>
  </si>
  <si>
    <t xml:space="preserve">Materiales y mercadeo</t>
  </si>
  <si>
    <t xml:space="preserve">Retoques y gabinetes</t>
  </si>
  <si>
    <t xml:space="preserve">Azulejo y techo</t>
  </si>
  <si>
    <t xml:space="preserve">Piso laminado y cuarzo (meseta)</t>
  </si>
  <si>
    <t xml:space="preserve">Molduras, water heater y cocina</t>
  </si>
  <si>
    <t xml:space="preserve">Jardín y garaje</t>
  </si>
  <si>
    <t xml:space="preserve">Pagos y acabados finales / epoxi</t>
  </si>
  <si>
    <t xml:space="preserve">Detalles finales y staging</t>
  </si>
  <si>
    <t xml:space="preserve">Open house / venta</t>
  </si>
  <si>
    <t xml:space="preserve">Duración total del proyecto (días):</t>
  </si>
  <si>
    <t xml:space="preserve">Financiamiento — Préstamo y desglose de gastos</t>
  </si>
  <si>
    <t xml:space="preserve">Desembolsos recibidos del prestamista</t>
  </si>
  <si>
    <t xml:space="preserve">Pago #</t>
  </si>
  <si>
    <t xml:space="preserve">Monto</t>
  </si>
  <si>
    <t xml:space="preserve">Monto del préstamo (referencia):</t>
  </si>
  <si>
    <t xml:space="preserve">Saldo pendiente por recibir del préstamo:</t>
  </si>
  <si>
    <t xml:space="preserve">Desglose de gastos (uso de los $45,000)</t>
  </si>
  <si>
    <t xml:space="preserve">Concepto</t>
  </si>
  <si>
    <t xml:space="preserve">Inspección de plomería</t>
  </si>
  <si>
    <t xml:space="preserve">Fundación (pago inicial)</t>
  </si>
  <si>
    <t xml:space="preserve">Pepe — instalación de cerámica (baños, chimenea, entrada y cocina)</t>
  </si>
  <si>
    <t xml:space="preserve">Martín — pintura interior y exterior, incluyendo la cerca</t>
  </si>
  <si>
    <t xml:space="preserve">Aproximado</t>
  </si>
  <si>
    <t xml:space="preserve">Edgar — 2 días de trabajo</t>
  </si>
  <si>
    <t xml:space="preserve">Materiales — piso y trim/molduras</t>
  </si>
  <si>
    <t xml:space="preserve">Recibos Home Depot (tarjeta de negocio, del 7/28 a la fecha)</t>
  </si>
  <si>
    <t xml:space="preserve">Compras en línea (Amazon y TikTok)</t>
  </si>
  <si>
    <t xml:space="preserve">Trabajo exterior de jardinería</t>
  </si>
  <si>
    <t xml:space="preserve">Pago a la casa 1</t>
  </si>
  <si>
    <t xml:space="preserve">Concepto por confirmar</t>
  </si>
  <si>
    <t xml:space="preserve">Pago a la casa 2</t>
  </si>
  <si>
    <t xml:space="preserve">Agua — mes actual</t>
  </si>
  <si>
    <t xml:space="preserve">Agua — mes pasado</t>
  </si>
  <si>
    <t xml:space="preserve">Electricidad</t>
  </si>
  <si>
    <t xml:space="preserve">Pago a Leo</t>
  </si>
  <si>
    <t xml:space="preserve">Pago a Ernesto</t>
  </si>
  <si>
    <t xml:space="preserve">Álvaro — materiales, pinturas y objetos</t>
  </si>
  <si>
    <t xml:space="preserve">Compras en línea (tarjeta personal)</t>
  </si>
  <si>
    <t xml:space="preserve">Home Depot (tarjeta personal)</t>
  </si>
  <si>
    <t xml:space="preserve">Gabinetes de cocina y 2 baños</t>
  </si>
  <si>
    <t xml:space="preserve">Meseta de cuarzo (cocina y baños)</t>
  </si>
  <si>
    <t xml:space="preserve">Materiales varios — bolsas de basura, llavines de puertas, pintura, primer, techos, paredes, lámparas, buzón exterior, materiales de reparación (masilla, tape, lija, etc.)</t>
  </si>
  <si>
    <t xml:space="preserve">Total desglosado hasta el momento</t>
  </si>
  <si>
    <t xml:space="preserve">Restante por desglosar (de los $45,000)</t>
  </si>
  <si>
    <t xml:space="preserve">✓ Desglose de gastos verificado y completo — 100% de los $45,000 del préstamo justificado.</t>
  </si>
  <si>
    <t xml:space="preserve">Estudio de Ganancia — Compra, Venta y División</t>
  </si>
  <si>
    <t xml:space="preserve">Celdas en dorado claro son editables (% financiado, tasa de interés, fecha de venta, precio de venta, tasa de impuesto, % de división) — los totales se recalculan solos.</t>
  </si>
  <si>
    <t xml:space="preserve">Sección A — Estructura de la compra</t>
  </si>
  <si>
    <t xml:space="preserve">Precio de compra de la propiedad:</t>
  </si>
  <si>
    <t xml:space="preserve">Enganche pagado por Leo (30% aprox., de su bolsillo):</t>
  </si>
  <si>
    <t xml:space="preserve">Préstamo de compra (resto, financiado por el prestamista):</t>
  </si>
  <si>
    <t xml:space="preserve">% Financiado por el prestamista (referencia):</t>
  </si>
  <si>
    <t xml:space="preserve">Sección B — Costos de cierre y búsqueda de la propiedad</t>
  </si>
  <si>
    <t xml:space="preserve">Gastos de cierre adicionales 1 (pagado por Leo, de su bolsillo):</t>
  </si>
  <si>
    <t xml:space="preserve">Costo de cierre y búsqueda de la propiedad (pagado por Leo, de su bolsillo):</t>
  </si>
  <si>
    <t xml:space="preserve">Total aportado por Leo de su bolsillo (cierre):</t>
  </si>
  <si>
    <t xml:space="preserve">Total aportado por Leo en total (enganche + cierre):</t>
  </si>
  <si>
    <t xml:space="preserve">Sección C — Financiamiento del prestamista e interés</t>
  </si>
  <si>
    <t xml:space="preserve">Préstamo de remodelación (referencia):</t>
  </si>
  <si>
    <t xml:space="preserve">Total prestado por el prestamista (compra + remodelación):</t>
  </si>
  <si>
    <t xml:space="preserve">Tasa de interés anual:</t>
  </si>
  <si>
    <t xml:space="preserve">Fecha de firma de contrato (referencia):</t>
  </si>
  <si>
    <t xml:space="preserve">Fecha estimada de venta / pago del préstamo:</t>
  </si>
  <si>
    <t xml:space="preserve">Meta: 2 meses y 7 días de obra — vender lo antes posible para no seguir pagando interés</t>
  </si>
  <si>
    <t xml:space="preserve">Días del préstamo (contrato a venta):</t>
  </si>
  <si>
    <t xml:space="preserve">Interés estimado (simple, sobre el total prestado):</t>
  </si>
  <si>
    <t xml:space="preserve">Estimado — el interés real depende de las fechas exactas de cada desembolso</t>
  </si>
  <si>
    <t xml:space="preserve">Sección D — Deudas a liquidar al momento de la venta</t>
  </si>
  <si>
    <t xml:space="preserve">Enganche a recuperar:</t>
  </si>
  <si>
    <t xml:space="preserve">Reembolso a Leo (gastos de cierre de su bolsillo):</t>
  </si>
  <si>
    <t xml:space="preserve">Pago del préstamo de compra (a los prestamistas):</t>
  </si>
  <si>
    <t xml:space="preserve">Pago del préstamo de remodelación (a los prestamistas):</t>
  </si>
  <si>
    <t xml:space="preserve">Interés acumulado a pagar:</t>
  </si>
  <si>
    <t xml:space="preserve">Total a liquidar antes de calcular ganancia:</t>
  </si>
  <si>
    <t xml:space="preserve">Sección E — Venta y ganancia estimada</t>
  </si>
  <si>
    <t xml:space="preserve">Precio de venta estimado:</t>
  </si>
  <si>
    <t xml:space="preserve">Ganancia bruta antes de impuestos:</t>
  </si>
  <si>
    <t xml:space="preserve">Tasa de impuesto sobre ganancia de la compañía:</t>
  </si>
  <si>
    <t xml:space="preserve">Tasa corporativa federal EE.UU. — ajústala aquí si tu contador te da otra tasa</t>
  </si>
  <si>
    <t xml:space="preserve">Impuesto estimado:</t>
  </si>
  <si>
    <t xml:space="preserve">Ganancia neta después de impuestos:</t>
  </si>
  <si>
    <t xml:space="preserve">Sección F — División de la ganancia neta (Ernesto y Leo)</t>
  </si>
  <si>
    <t xml:space="preserve">% Ernesto:</t>
  </si>
  <si>
    <t xml:space="preserve">% Leo:</t>
  </si>
  <si>
    <t xml:space="preserve">Ganancia para Ernesto:</t>
  </si>
  <si>
    <t xml:space="preserve">Ganancia para Leo:</t>
  </si>
  <si>
    <t xml:space="preserve">Nota: esta división es sobre la ganancia neta después de impuestos. El reembolso de $8,900 a Leo por sus gastos de cierre, el enganche y los dos préstamos con interés ya se recuperan por separado en las Secciones D y E, antes de calcular la ganancia — no forman parte de este 50/50. El interés es un estimado simple (tasa anual × días ÷ 365) sobre el total prestado; el monto real puede variar según la fecha exacta de cada desembolso.</t>
  </si>
  <si>
    <t xml:space="preserve">Sección G — Escenarios de venta (posibilidades)</t>
  </si>
  <si>
    <t xml:space="preserve">Precio de venta</t>
  </si>
  <si>
    <t xml:space="preserve">Ganancia bruta</t>
  </si>
  <si>
    <t xml:space="preserve">Impuesto</t>
  </si>
  <si>
    <t xml:space="preserve">Ganancia neta</t>
  </si>
  <si>
    <t xml:space="preserve">Cada socio (50%)</t>
  </si>
  <si>
    <t xml:space="preserve">La fila resaltada en dorado corresponde al precio de venta objetivo ($450,000). Cambia cualquier precio de la columna A, la tasa de interés o de impuesto y toda la tabla se recalcula.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</si>
</sst>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General"/>
    <numFmt numFmtId="167" formatCode="\$#,##0"/>
    <numFmt numFmtId="168" formatCode="0.0%"/>
    <numFmt numFmtId="169" formatCode="0%"/>
    <numFmt numFmtId="170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C9A84C"/>
        <bgColor rgb="FFFF9900"/>
      </patternFill>
    </fill>
    <fill>
      <patternFill patternType="solid">
        <fgColor rgb="FFF5EBD0"/>
        <bgColor rgb="FFF2F2F2"/>
      </patternFill>
    </fill>
    <fill>
      <patternFill patternType="solid">
        <fgColor rgb="FFF2F2F2"/>
        <bgColor rgb="FFF5EBD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5EBD0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9A84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0</xdr:row>
      <xdr:rowOff>0</xdr:rowOff>
    </xdr:from>
    <xdr:to>
      <xdr:col>6</xdr:col>
      <xdr:colOff>571320</xdr:colOff>
      <xdr:row>2</xdr:row>
      <xdr:rowOff>190440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586080" y="0"/>
          <a:ext cx="571320" cy="571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5</xdr:col>
      <xdr:colOff>571320</xdr:colOff>
      <xdr:row>2</xdr:row>
      <xdr:rowOff>104760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9444960" y="0"/>
          <a:ext cx="571320" cy="571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0</xdr:row>
      <xdr:rowOff>0</xdr:rowOff>
    </xdr:from>
    <xdr:to>
      <xdr:col>4</xdr:col>
      <xdr:colOff>571320</xdr:colOff>
      <xdr:row>2</xdr:row>
      <xdr:rowOff>175680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5497920" y="0"/>
          <a:ext cx="571320" cy="571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0</xdr:row>
      <xdr:rowOff>0</xdr:rowOff>
    </xdr:from>
    <xdr:to>
      <xdr:col>3</xdr:col>
      <xdr:colOff>571320</xdr:colOff>
      <xdr:row>2</xdr:row>
      <xdr:rowOff>104760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6766560" y="0"/>
          <a:ext cx="571320" cy="571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5</xdr:col>
      <xdr:colOff>571320</xdr:colOff>
      <xdr:row>2</xdr:row>
      <xdr:rowOff>104760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8881200" y="0"/>
          <a:ext cx="571320" cy="571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6" min="3" style="0" width="14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</row>
    <row r="3" customFormat="false" ht="15" hidden="false" customHeight="false" outlineLevel="0" collapsed="false">
      <c r="A3" s="2" t="s">
        <v>1</v>
      </c>
      <c r="B3" s="2"/>
      <c r="C3" s="2"/>
      <c r="D3" s="2"/>
      <c r="E3" s="2"/>
      <c r="F3" s="2"/>
    </row>
    <row r="5" customFormat="false" ht="15" hidden="false" customHeight="false" outlineLevel="0" collapsed="false">
      <c r="A5" s="3" t="s">
        <v>2</v>
      </c>
      <c r="B5" s="4" t="s">
        <v>3</v>
      </c>
    </row>
    <row r="6" customFormat="false" ht="15" hidden="false" customHeight="false" outlineLevel="0" collapsed="false">
      <c r="A6" s="3" t="s">
        <v>4</v>
      </c>
      <c r="B6" s="4" t="s">
        <v>5</v>
      </c>
    </row>
    <row r="7" customFormat="false" ht="15" hidden="false" customHeight="false" outlineLevel="0" collapsed="false">
      <c r="A7" s="3" t="s">
        <v>6</v>
      </c>
      <c r="B7" s="5" t="n">
        <v>46216</v>
      </c>
    </row>
    <row r="8" customFormat="false" ht="15" hidden="false" customHeight="false" outlineLevel="0" collapsed="false">
      <c r="A8" s="3" t="s">
        <v>7</v>
      </c>
      <c r="B8" s="5" t="n">
        <v>46218</v>
      </c>
    </row>
    <row r="9" customFormat="false" ht="15" hidden="false" customHeight="false" outlineLevel="0" collapsed="false">
      <c r="A9" s="3" t="s">
        <v>8</v>
      </c>
      <c r="B9" s="5" t="n">
        <v>46284</v>
      </c>
    </row>
    <row r="11" customFormat="false" ht="15" hidden="false" customHeight="false" outlineLevel="0" collapsed="false">
      <c r="A11" s="3" t="s">
        <v>9</v>
      </c>
      <c r="B11" s="4" t="n">
        <f aca="false">B9-B7+1</f>
        <v>69</v>
      </c>
    </row>
    <row r="12" customFormat="false" ht="15" hidden="false" customHeight="false" outlineLevel="0" collapsed="false">
      <c r="A12" s="3" t="s">
        <v>10</v>
      </c>
      <c r="B12" s="4" t="n">
        <f aca="false">COUNTA(Bitacora!A4:A200)</f>
        <v>68</v>
      </c>
    </row>
    <row r="14" customFormat="false" ht="15" hidden="false" customHeight="true" outlineLevel="0" collapsed="false">
      <c r="A14" s="6" t="s">
        <v>11</v>
      </c>
      <c r="B14" s="6"/>
      <c r="C14" s="6"/>
      <c r="D14" s="6"/>
      <c r="E14" s="6"/>
      <c r="F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</row>
  </sheetData>
  <mergeCells count="3">
    <mergeCell ref="A1:F2"/>
    <mergeCell ref="A3:F3"/>
    <mergeCell ref="A14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4"/>
    <col collapsed="false" customWidth="true" hidden="false" outlineLevel="0" max="4" min="4" style="0" width="50"/>
    <col collapsed="false" customWidth="true" hidden="false" outlineLevel="0" max="5" min="5" style="0" width="46"/>
  </cols>
  <sheetData>
    <row r="1" customFormat="false" ht="21.75" hidden="false" customHeight="true" outlineLevel="0" collapsed="false">
      <c r="A1" s="7" t="s">
        <v>12</v>
      </c>
      <c r="B1" s="7"/>
      <c r="C1" s="7"/>
      <c r="D1" s="7"/>
      <c r="E1" s="7"/>
    </row>
    <row r="3" customFormat="false" ht="18" hidden="false" customHeight="true" outlineLevel="0" collapsed="false">
      <c r="A3" s="8" t="s">
        <v>13</v>
      </c>
      <c r="B3" s="8" t="s">
        <v>14</v>
      </c>
      <c r="C3" s="8" t="s">
        <v>15</v>
      </c>
      <c r="D3" s="8" t="s">
        <v>16</v>
      </c>
      <c r="E3" s="8" t="s">
        <v>17</v>
      </c>
    </row>
    <row r="4" customFormat="false" ht="15" hidden="false" customHeight="false" outlineLevel="0" collapsed="false">
      <c r="A4" s="9" t="n">
        <v>46216</v>
      </c>
      <c r="B4" s="10" t="s">
        <v>18</v>
      </c>
      <c r="C4" s="10" t="s">
        <v>19</v>
      </c>
      <c r="D4" s="11" t="s">
        <v>20</v>
      </c>
      <c r="E4" s="11"/>
    </row>
    <row r="5" customFormat="false" ht="15" hidden="false" customHeight="false" outlineLevel="0" collapsed="false">
      <c r="A5" s="12" t="n">
        <v>46218</v>
      </c>
      <c r="B5" s="13" t="s">
        <v>21</v>
      </c>
      <c r="C5" s="13" t="s">
        <v>22</v>
      </c>
      <c r="D5" s="14" t="s">
        <v>23</v>
      </c>
      <c r="E5" s="14"/>
    </row>
    <row r="6" customFormat="false" ht="15" hidden="false" customHeight="false" outlineLevel="0" collapsed="false">
      <c r="A6" s="9" t="n">
        <v>46219</v>
      </c>
      <c r="B6" s="10" t="s">
        <v>24</v>
      </c>
      <c r="C6" s="10" t="s">
        <v>25</v>
      </c>
      <c r="D6" s="11" t="s">
        <v>26</v>
      </c>
      <c r="E6" s="11"/>
    </row>
    <row r="7" customFormat="false" ht="15" hidden="false" customHeight="false" outlineLevel="0" collapsed="false">
      <c r="A7" s="12" t="n">
        <v>46220</v>
      </c>
      <c r="B7" s="13" t="s">
        <v>27</v>
      </c>
      <c r="C7" s="13" t="s">
        <v>25</v>
      </c>
      <c r="D7" s="14" t="s">
        <v>28</v>
      </c>
      <c r="E7" s="14"/>
    </row>
    <row r="8" customFormat="false" ht="15" hidden="false" customHeight="false" outlineLevel="0" collapsed="false">
      <c r="A8" s="9" t="n">
        <v>46221</v>
      </c>
      <c r="B8" s="10" t="s">
        <v>29</v>
      </c>
      <c r="C8" s="10" t="s">
        <v>30</v>
      </c>
      <c r="D8" s="11" t="s">
        <v>31</v>
      </c>
      <c r="E8" s="11" t="s">
        <v>32</v>
      </c>
    </row>
    <row r="9" customFormat="false" ht="15" hidden="false" customHeight="false" outlineLevel="0" collapsed="false">
      <c r="A9" s="12" t="n">
        <v>46222</v>
      </c>
      <c r="B9" s="13" t="s">
        <v>33</v>
      </c>
      <c r="C9" s="13" t="s">
        <v>34</v>
      </c>
      <c r="D9" s="14" t="s">
        <v>35</v>
      </c>
      <c r="E9" s="14" t="s">
        <v>36</v>
      </c>
    </row>
    <row r="10" customFormat="false" ht="15" hidden="false" customHeight="false" outlineLevel="0" collapsed="false">
      <c r="A10" s="9" t="n">
        <v>46223</v>
      </c>
      <c r="B10" s="10" t="s">
        <v>18</v>
      </c>
      <c r="C10" s="10" t="s">
        <v>30</v>
      </c>
      <c r="D10" s="11" t="s">
        <v>37</v>
      </c>
      <c r="E10" s="11"/>
    </row>
    <row r="11" customFormat="false" ht="15" hidden="false" customHeight="false" outlineLevel="0" collapsed="false">
      <c r="A11" s="12" t="n">
        <v>46224</v>
      </c>
      <c r="B11" s="13" t="s">
        <v>38</v>
      </c>
      <c r="C11" s="13" t="s">
        <v>30</v>
      </c>
      <c r="D11" s="14" t="s">
        <v>39</v>
      </c>
      <c r="E11" s="14"/>
    </row>
    <row r="12" customFormat="false" ht="15" hidden="false" customHeight="false" outlineLevel="0" collapsed="false">
      <c r="A12" s="9" t="n">
        <v>46225</v>
      </c>
      <c r="B12" s="10" t="s">
        <v>21</v>
      </c>
      <c r="C12" s="10" t="s">
        <v>30</v>
      </c>
      <c r="D12" s="11" t="s">
        <v>40</v>
      </c>
      <c r="E12" s="11"/>
    </row>
    <row r="13" customFormat="false" ht="15" hidden="false" customHeight="false" outlineLevel="0" collapsed="false">
      <c r="A13" s="12" t="n">
        <v>46226</v>
      </c>
      <c r="B13" s="13" t="s">
        <v>24</v>
      </c>
      <c r="C13" s="13" t="s">
        <v>30</v>
      </c>
      <c r="D13" s="14" t="s">
        <v>41</v>
      </c>
      <c r="E13" s="14" t="s">
        <v>42</v>
      </c>
    </row>
    <row r="14" customFormat="false" ht="15" hidden="false" customHeight="false" outlineLevel="0" collapsed="false">
      <c r="A14" s="9" t="n">
        <v>46227</v>
      </c>
      <c r="B14" s="10" t="s">
        <v>27</v>
      </c>
      <c r="C14" s="10" t="s">
        <v>43</v>
      </c>
      <c r="D14" s="11" t="s">
        <v>44</v>
      </c>
      <c r="E14" s="11"/>
    </row>
    <row r="15" customFormat="false" ht="15" hidden="false" customHeight="false" outlineLevel="0" collapsed="false">
      <c r="A15" s="12" t="n">
        <v>46228</v>
      </c>
      <c r="B15" s="13" t="s">
        <v>29</v>
      </c>
      <c r="C15" s="13" t="s">
        <v>43</v>
      </c>
      <c r="D15" s="14" t="s">
        <v>45</v>
      </c>
      <c r="E15" s="14"/>
    </row>
    <row r="16" customFormat="false" ht="15" hidden="false" customHeight="false" outlineLevel="0" collapsed="false">
      <c r="A16" s="15" t="n">
        <v>46229</v>
      </c>
      <c r="B16" s="16" t="s">
        <v>33</v>
      </c>
      <c r="C16" s="16" t="s">
        <v>46</v>
      </c>
      <c r="D16" s="17" t="s">
        <v>47</v>
      </c>
      <c r="E16" s="17"/>
    </row>
    <row r="17" customFormat="false" ht="15" hidden="false" customHeight="false" outlineLevel="0" collapsed="false">
      <c r="A17" s="12" t="n">
        <v>46230</v>
      </c>
      <c r="B17" s="13" t="s">
        <v>18</v>
      </c>
      <c r="C17" s="13" t="s">
        <v>48</v>
      </c>
      <c r="D17" s="14" t="s">
        <v>49</v>
      </c>
      <c r="E17" s="14"/>
    </row>
    <row r="18" customFormat="false" ht="15" hidden="false" customHeight="false" outlineLevel="0" collapsed="false">
      <c r="A18" s="9" t="n">
        <v>46231</v>
      </c>
      <c r="B18" s="10" t="s">
        <v>38</v>
      </c>
      <c r="C18" s="10" t="s">
        <v>50</v>
      </c>
      <c r="D18" s="11" t="s">
        <v>51</v>
      </c>
      <c r="E18" s="11"/>
    </row>
    <row r="19" customFormat="false" ht="15" hidden="false" customHeight="false" outlineLevel="0" collapsed="false">
      <c r="A19" s="12" t="n">
        <v>46232</v>
      </c>
      <c r="B19" s="13" t="s">
        <v>21</v>
      </c>
      <c r="C19" s="13" t="s">
        <v>50</v>
      </c>
      <c r="D19" s="14" t="s">
        <v>52</v>
      </c>
      <c r="E19" s="14" t="s">
        <v>42</v>
      </c>
    </row>
    <row r="20" customFormat="false" ht="15" hidden="false" customHeight="false" outlineLevel="0" collapsed="false">
      <c r="A20" s="9" t="n">
        <v>46233</v>
      </c>
      <c r="B20" s="10" t="s">
        <v>24</v>
      </c>
      <c r="C20" s="10" t="s">
        <v>53</v>
      </c>
      <c r="D20" s="11" t="s">
        <v>54</v>
      </c>
      <c r="E20" s="11" t="s">
        <v>55</v>
      </c>
    </row>
    <row r="21" customFormat="false" ht="15" hidden="false" customHeight="false" outlineLevel="0" collapsed="false">
      <c r="A21" s="12" t="n">
        <v>46234</v>
      </c>
      <c r="B21" s="13" t="s">
        <v>27</v>
      </c>
      <c r="C21" s="13" t="s">
        <v>53</v>
      </c>
      <c r="D21" s="14" t="s">
        <v>56</v>
      </c>
      <c r="E21" s="14"/>
    </row>
    <row r="22" customFormat="false" ht="15" hidden="false" customHeight="false" outlineLevel="0" collapsed="false">
      <c r="A22" s="9" t="n">
        <v>46235</v>
      </c>
      <c r="B22" s="10" t="s">
        <v>29</v>
      </c>
      <c r="C22" s="10" t="s">
        <v>53</v>
      </c>
      <c r="D22" s="11" t="s">
        <v>57</v>
      </c>
      <c r="E22" s="11"/>
    </row>
    <row r="23" customFormat="false" ht="15" hidden="false" customHeight="false" outlineLevel="0" collapsed="false">
      <c r="A23" s="15" t="n">
        <v>46236</v>
      </c>
      <c r="B23" s="16" t="s">
        <v>33</v>
      </c>
      <c r="C23" s="16" t="s">
        <v>46</v>
      </c>
      <c r="D23" s="17" t="s">
        <v>47</v>
      </c>
      <c r="E23" s="17"/>
    </row>
    <row r="24" customFormat="false" ht="15" hidden="false" customHeight="false" outlineLevel="0" collapsed="false">
      <c r="A24" s="9" t="n">
        <v>46237</v>
      </c>
      <c r="B24" s="10" t="s">
        <v>18</v>
      </c>
      <c r="C24" s="10" t="s">
        <v>53</v>
      </c>
      <c r="D24" s="11" t="s">
        <v>57</v>
      </c>
      <c r="E24" s="11"/>
    </row>
    <row r="25" customFormat="false" ht="15" hidden="false" customHeight="false" outlineLevel="0" collapsed="false">
      <c r="A25" s="12" t="n">
        <v>46238</v>
      </c>
      <c r="B25" s="13" t="s">
        <v>38</v>
      </c>
      <c r="C25" s="13" t="s">
        <v>22</v>
      </c>
      <c r="D25" s="14" t="s">
        <v>58</v>
      </c>
      <c r="E25" s="14" t="s">
        <v>42</v>
      </c>
    </row>
    <row r="26" customFormat="false" ht="23.85" hidden="false" customHeight="false" outlineLevel="0" collapsed="false">
      <c r="A26" s="9" t="n">
        <v>46239</v>
      </c>
      <c r="B26" s="10" t="s">
        <v>21</v>
      </c>
      <c r="C26" s="10" t="s">
        <v>43</v>
      </c>
      <c r="D26" s="11" t="s">
        <v>59</v>
      </c>
      <c r="E26" s="11"/>
    </row>
    <row r="27" customFormat="false" ht="15" hidden="false" customHeight="false" outlineLevel="0" collapsed="false">
      <c r="A27" s="12" t="n">
        <v>46240</v>
      </c>
      <c r="B27" s="13" t="s">
        <v>24</v>
      </c>
      <c r="C27" s="13" t="s">
        <v>22</v>
      </c>
      <c r="D27" s="14" t="s">
        <v>60</v>
      </c>
      <c r="E27" s="14"/>
    </row>
    <row r="28" customFormat="false" ht="15" hidden="false" customHeight="false" outlineLevel="0" collapsed="false">
      <c r="A28" s="9" t="n">
        <v>46241</v>
      </c>
      <c r="B28" s="10" t="s">
        <v>27</v>
      </c>
      <c r="C28" s="10" t="s">
        <v>22</v>
      </c>
      <c r="D28" s="11" t="s">
        <v>61</v>
      </c>
      <c r="E28" s="11"/>
    </row>
    <row r="29" customFormat="false" ht="15" hidden="false" customHeight="false" outlineLevel="0" collapsed="false">
      <c r="A29" s="12" t="n">
        <v>46242</v>
      </c>
      <c r="B29" s="13" t="s">
        <v>29</v>
      </c>
      <c r="C29" s="13" t="s">
        <v>62</v>
      </c>
      <c r="D29" s="14" t="s">
        <v>63</v>
      </c>
      <c r="E29" s="14"/>
    </row>
    <row r="30" customFormat="false" ht="15" hidden="false" customHeight="false" outlineLevel="0" collapsed="false">
      <c r="A30" s="15" t="n">
        <v>46243</v>
      </c>
      <c r="B30" s="16" t="s">
        <v>33</v>
      </c>
      <c r="C30" s="16" t="s">
        <v>46</v>
      </c>
      <c r="D30" s="17" t="s">
        <v>64</v>
      </c>
      <c r="E30" s="17"/>
    </row>
    <row r="31" customFormat="false" ht="15" hidden="false" customHeight="false" outlineLevel="0" collapsed="false">
      <c r="A31" s="12" t="n">
        <v>46244</v>
      </c>
      <c r="B31" s="13" t="s">
        <v>18</v>
      </c>
      <c r="C31" s="13" t="s">
        <v>22</v>
      </c>
      <c r="D31" s="14" t="s">
        <v>65</v>
      </c>
      <c r="E31" s="14"/>
    </row>
    <row r="32" customFormat="false" ht="15" hidden="false" customHeight="false" outlineLevel="0" collapsed="false">
      <c r="A32" s="9" t="n">
        <v>46245</v>
      </c>
      <c r="B32" s="10" t="s">
        <v>38</v>
      </c>
      <c r="C32" s="10" t="s">
        <v>66</v>
      </c>
      <c r="D32" s="11" t="s">
        <v>67</v>
      </c>
      <c r="E32" s="11"/>
    </row>
    <row r="33" customFormat="false" ht="15" hidden="false" customHeight="false" outlineLevel="0" collapsed="false">
      <c r="A33" s="12" t="n">
        <v>46246</v>
      </c>
      <c r="B33" s="13" t="s">
        <v>21</v>
      </c>
      <c r="C33" s="13" t="s">
        <v>66</v>
      </c>
      <c r="D33" s="14" t="s">
        <v>68</v>
      </c>
      <c r="E33" s="14"/>
    </row>
    <row r="34" customFormat="false" ht="15" hidden="false" customHeight="false" outlineLevel="0" collapsed="false">
      <c r="A34" s="9" t="n">
        <v>46247</v>
      </c>
      <c r="B34" s="10" t="s">
        <v>24</v>
      </c>
      <c r="C34" s="10" t="s">
        <v>66</v>
      </c>
      <c r="D34" s="11" t="s">
        <v>69</v>
      </c>
      <c r="E34" s="11"/>
    </row>
    <row r="35" customFormat="false" ht="15" hidden="false" customHeight="false" outlineLevel="0" collapsed="false">
      <c r="A35" s="12" t="n">
        <v>46248</v>
      </c>
      <c r="B35" s="13" t="s">
        <v>27</v>
      </c>
      <c r="C35" s="13" t="s">
        <v>66</v>
      </c>
      <c r="D35" s="14" t="s">
        <v>70</v>
      </c>
      <c r="E35" s="14"/>
    </row>
    <row r="36" customFormat="false" ht="15" hidden="false" customHeight="false" outlineLevel="0" collapsed="false">
      <c r="A36" s="9" t="n">
        <v>46249</v>
      </c>
      <c r="B36" s="10" t="s">
        <v>29</v>
      </c>
      <c r="C36" s="10" t="s">
        <v>66</v>
      </c>
      <c r="D36" s="11" t="s">
        <v>71</v>
      </c>
      <c r="E36" s="11"/>
    </row>
    <row r="37" customFormat="false" ht="15" hidden="false" customHeight="false" outlineLevel="0" collapsed="false">
      <c r="A37" s="15" t="n">
        <v>46250</v>
      </c>
      <c r="B37" s="16" t="s">
        <v>33</v>
      </c>
      <c r="C37" s="16" t="s">
        <v>46</v>
      </c>
      <c r="D37" s="17" t="s">
        <v>72</v>
      </c>
      <c r="E37" s="17"/>
    </row>
    <row r="38" customFormat="false" ht="15" hidden="false" customHeight="false" outlineLevel="0" collapsed="false">
      <c r="A38" s="9" t="n">
        <v>46251</v>
      </c>
      <c r="B38" s="10" t="s">
        <v>18</v>
      </c>
      <c r="C38" s="10" t="s">
        <v>66</v>
      </c>
      <c r="D38" s="11" t="s">
        <v>73</v>
      </c>
      <c r="E38" s="11"/>
    </row>
    <row r="39" customFormat="false" ht="15" hidden="false" customHeight="false" outlineLevel="0" collapsed="false">
      <c r="A39" s="12" t="n">
        <v>46252</v>
      </c>
      <c r="B39" s="13" t="s">
        <v>38</v>
      </c>
      <c r="C39" s="13" t="s">
        <v>74</v>
      </c>
      <c r="D39" s="14" t="s">
        <v>75</v>
      </c>
      <c r="E39" s="14"/>
    </row>
    <row r="40" customFormat="false" ht="15" hidden="false" customHeight="false" outlineLevel="0" collapsed="false">
      <c r="A40" s="9" t="n">
        <v>46253</v>
      </c>
      <c r="B40" s="10" t="s">
        <v>21</v>
      </c>
      <c r="C40" s="10" t="s">
        <v>48</v>
      </c>
      <c r="D40" s="11" t="s">
        <v>76</v>
      </c>
      <c r="E40" s="11"/>
    </row>
    <row r="41" customFormat="false" ht="15" hidden="false" customHeight="false" outlineLevel="0" collapsed="false">
      <c r="A41" s="12" t="n">
        <v>46254</v>
      </c>
      <c r="B41" s="13" t="s">
        <v>24</v>
      </c>
      <c r="C41" s="13" t="s">
        <v>77</v>
      </c>
      <c r="D41" s="14" t="s">
        <v>78</v>
      </c>
      <c r="E41" s="14"/>
    </row>
    <row r="42" customFormat="false" ht="15" hidden="false" customHeight="false" outlineLevel="0" collapsed="false">
      <c r="A42" s="9" t="n">
        <v>46255</v>
      </c>
      <c r="B42" s="10" t="s">
        <v>27</v>
      </c>
      <c r="C42" s="10" t="s">
        <v>79</v>
      </c>
      <c r="D42" s="11" t="s">
        <v>80</v>
      </c>
      <c r="E42" s="11"/>
    </row>
    <row r="43" customFormat="false" ht="23.85" hidden="false" customHeight="false" outlineLevel="0" collapsed="false">
      <c r="A43" s="12" t="n">
        <v>46256</v>
      </c>
      <c r="B43" s="13" t="s">
        <v>29</v>
      </c>
      <c r="C43" s="13" t="s">
        <v>79</v>
      </c>
      <c r="D43" s="14" t="s">
        <v>81</v>
      </c>
      <c r="E43" s="14" t="s">
        <v>42</v>
      </c>
    </row>
    <row r="44" customFormat="false" ht="15" hidden="false" customHeight="false" outlineLevel="0" collapsed="false">
      <c r="A44" s="15" t="n">
        <v>46257</v>
      </c>
      <c r="B44" s="16" t="s">
        <v>33</v>
      </c>
      <c r="C44" s="16" t="s">
        <v>46</v>
      </c>
      <c r="D44" s="17" t="s">
        <v>47</v>
      </c>
      <c r="E44" s="17" t="s">
        <v>82</v>
      </c>
    </row>
    <row r="45" customFormat="false" ht="15" hidden="false" customHeight="false" outlineLevel="0" collapsed="false">
      <c r="A45" s="12" t="n">
        <v>46258</v>
      </c>
      <c r="B45" s="13" t="s">
        <v>18</v>
      </c>
      <c r="C45" s="13" t="s">
        <v>79</v>
      </c>
      <c r="D45" s="14" t="s">
        <v>83</v>
      </c>
      <c r="E45" s="14"/>
    </row>
    <row r="46" customFormat="false" ht="15" hidden="false" customHeight="false" outlineLevel="0" collapsed="false">
      <c r="A46" s="9" t="n">
        <v>46259</v>
      </c>
      <c r="B46" s="10" t="s">
        <v>38</v>
      </c>
      <c r="C46" s="10" t="s">
        <v>84</v>
      </c>
      <c r="D46" s="11" t="s">
        <v>85</v>
      </c>
      <c r="E46" s="11" t="s">
        <v>42</v>
      </c>
    </row>
    <row r="47" customFormat="false" ht="15" hidden="false" customHeight="false" outlineLevel="0" collapsed="false">
      <c r="A47" s="12" t="n">
        <v>46260</v>
      </c>
      <c r="B47" s="13" t="s">
        <v>21</v>
      </c>
      <c r="C47" s="13" t="s">
        <v>86</v>
      </c>
      <c r="D47" s="14" t="s">
        <v>87</v>
      </c>
      <c r="E47" s="14"/>
    </row>
    <row r="48" customFormat="false" ht="15" hidden="false" customHeight="false" outlineLevel="0" collapsed="false">
      <c r="A48" s="9" t="n">
        <v>46261</v>
      </c>
      <c r="B48" s="10" t="s">
        <v>24</v>
      </c>
      <c r="C48" s="10" t="s">
        <v>88</v>
      </c>
      <c r="D48" s="11" t="s">
        <v>89</v>
      </c>
      <c r="E48" s="11"/>
    </row>
    <row r="49" customFormat="false" ht="15" hidden="false" customHeight="false" outlineLevel="0" collapsed="false">
      <c r="A49" s="12" t="n">
        <v>46262</v>
      </c>
      <c r="B49" s="13" t="s">
        <v>27</v>
      </c>
      <c r="C49" s="13" t="s">
        <v>88</v>
      </c>
      <c r="D49" s="14" t="s">
        <v>90</v>
      </c>
      <c r="E49" s="14"/>
    </row>
    <row r="50" customFormat="false" ht="23.85" hidden="false" customHeight="false" outlineLevel="0" collapsed="false">
      <c r="A50" s="9" t="n">
        <v>46263</v>
      </c>
      <c r="B50" s="10" t="s">
        <v>29</v>
      </c>
      <c r="C50" s="10" t="s">
        <v>88</v>
      </c>
      <c r="D50" s="11" t="s">
        <v>91</v>
      </c>
      <c r="E50" s="11"/>
    </row>
    <row r="51" customFormat="false" ht="15" hidden="false" customHeight="false" outlineLevel="0" collapsed="false">
      <c r="A51" s="15" t="n">
        <v>46264</v>
      </c>
      <c r="B51" s="16" t="s">
        <v>33</v>
      </c>
      <c r="C51" s="16" t="s">
        <v>46</v>
      </c>
      <c r="D51" s="17" t="s">
        <v>47</v>
      </c>
      <c r="E51" s="17"/>
    </row>
    <row r="52" customFormat="false" ht="15" hidden="false" customHeight="false" outlineLevel="0" collapsed="false">
      <c r="A52" s="9" t="n">
        <v>46265</v>
      </c>
      <c r="B52" s="10" t="s">
        <v>18</v>
      </c>
      <c r="C52" s="10" t="s">
        <v>92</v>
      </c>
      <c r="D52" s="11" t="s">
        <v>93</v>
      </c>
      <c r="E52" s="11"/>
    </row>
    <row r="53" customFormat="false" ht="23.85" hidden="false" customHeight="false" outlineLevel="0" collapsed="false">
      <c r="A53" s="12" t="n">
        <v>46266</v>
      </c>
      <c r="B53" s="13" t="s">
        <v>38</v>
      </c>
      <c r="C53" s="13" t="s">
        <v>92</v>
      </c>
      <c r="D53" s="14" t="s">
        <v>94</v>
      </c>
      <c r="E53" s="14"/>
    </row>
    <row r="54" customFormat="false" ht="15" hidden="false" customHeight="false" outlineLevel="0" collapsed="false">
      <c r="A54" s="9" t="n">
        <v>46267</v>
      </c>
      <c r="B54" s="10" t="s">
        <v>21</v>
      </c>
      <c r="C54" s="10" t="s">
        <v>95</v>
      </c>
      <c r="D54" s="11" t="s">
        <v>96</v>
      </c>
      <c r="E54" s="11"/>
    </row>
    <row r="55" customFormat="false" ht="15" hidden="false" customHeight="false" outlineLevel="0" collapsed="false">
      <c r="A55" s="12" t="n">
        <v>46268</v>
      </c>
      <c r="B55" s="13" t="s">
        <v>24</v>
      </c>
      <c r="C55" s="13" t="s">
        <v>95</v>
      </c>
      <c r="D55" s="14" t="s">
        <v>97</v>
      </c>
      <c r="E55" s="14"/>
    </row>
    <row r="56" customFormat="false" ht="15" hidden="false" customHeight="false" outlineLevel="0" collapsed="false">
      <c r="A56" s="9" t="n">
        <v>46269</v>
      </c>
      <c r="B56" s="10" t="s">
        <v>27</v>
      </c>
      <c r="C56" s="10" t="s">
        <v>98</v>
      </c>
      <c r="D56" s="11" t="s">
        <v>99</v>
      </c>
      <c r="E56" s="11"/>
    </row>
    <row r="57" customFormat="false" ht="15" hidden="false" customHeight="false" outlineLevel="0" collapsed="false">
      <c r="A57" s="12" t="n">
        <v>46270</v>
      </c>
      <c r="B57" s="13" t="s">
        <v>29</v>
      </c>
      <c r="C57" s="13" t="s">
        <v>100</v>
      </c>
      <c r="D57" s="14" t="s">
        <v>101</v>
      </c>
      <c r="E57" s="14"/>
    </row>
    <row r="58" customFormat="false" ht="15" hidden="false" customHeight="false" outlineLevel="0" collapsed="false">
      <c r="A58" s="15" t="n">
        <v>46271</v>
      </c>
      <c r="B58" s="16" t="s">
        <v>33</v>
      </c>
      <c r="C58" s="16" t="s">
        <v>46</v>
      </c>
      <c r="D58" s="17" t="s">
        <v>47</v>
      </c>
      <c r="E58" s="17"/>
    </row>
    <row r="59" customFormat="false" ht="15" hidden="false" customHeight="false" outlineLevel="0" collapsed="false">
      <c r="A59" s="12" t="n">
        <v>46272</v>
      </c>
      <c r="B59" s="13" t="s">
        <v>18</v>
      </c>
      <c r="C59" s="13" t="s">
        <v>102</v>
      </c>
      <c r="D59" s="14" t="s">
        <v>103</v>
      </c>
      <c r="E59" s="14"/>
    </row>
    <row r="60" customFormat="false" ht="15" hidden="false" customHeight="false" outlineLevel="0" collapsed="false">
      <c r="A60" s="9" t="n">
        <v>46273</v>
      </c>
      <c r="B60" s="10" t="s">
        <v>38</v>
      </c>
      <c r="C60" s="10" t="s">
        <v>100</v>
      </c>
      <c r="D60" s="11" t="s">
        <v>104</v>
      </c>
      <c r="E60" s="11"/>
    </row>
    <row r="61" customFormat="false" ht="15" hidden="false" customHeight="false" outlineLevel="0" collapsed="false">
      <c r="A61" s="12" t="n">
        <v>46274</v>
      </c>
      <c r="B61" s="13" t="s">
        <v>21</v>
      </c>
      <c r="C61" s="13" t="s">
        <v>98</v>
      </c>
      <c r="D61" s="14" t="s">
        <v>105</v>
      </c>
      <c r="E61" s="14"/>
    </row>
    <row r="62" customFormat="false" ht="15" hidden="false" customHeight="false" outlineLevel="0" collapsed="false">
      <c r="A62" s="9" t="n">
        <v>46275</v>
      </c>
      <c r="B62" s="10" t="s">
        <v>24</v>
      </c>
      <c r="C62" s="10" t="s">
        <v>106</v>
      </c>
      <c r="D62" s="11" t="s">
        <v>107</v>
      </c>
      <c r="E62" s="11"/>
    </row>
    <row r="63" customFormat="false" ht="23.85" hidden="false" customHeight="false" outlineLevel="0" collapsed="false">
      <c r="A63" s="12" t="n">
        <v>46276</v>
      </c>
      <c r="B63" s="13" t="s">
        <v>27</v>
      </c>
      <c r="C63" s="13" t="s">
        <v>102</v>
      </c>
      <c r="D63" s="14" t="s">
        <v>108</v>
      </c>
      <c r="E63" s="14"/>
    </row>
    <row r="64" customFormat="false" ht="15" hidden="false" customHeight="false" outlineLevel="0" collapsed="false">
      <c r="A64" s="9" t="n">
        <v>46277</v>
      </c>
      <c r="B64" s="10" t="s">
        <v>29</v>
      </c>
      <c r="C64" s="10" t="s">
        <v>109</v>
      </c>
      <c r="D64" s="11" t="s">
        <v>110</v>
      </c>
      <c r="E64" s="11"/>
    </row>
    <row r="65" customFormat="false" ht="15" hidden="false" customHeight="false" outlineLevel="0" collapsed="false">
      <c r="A65" s="15" t="n">
        <v>46278</v>
      </c>
      <c r="B65" s="16" t="s">
        <v>33</v>
      </c>
      <c r="C65" s="16" t="s">
        <v>46</v>
      </c>
      <c r="D65" s="17" t="s">
        <v>47</v>
      </c>
      <c r="E65" s="17"/>
    </row>
    <row r="66" customFormat="false" ht="15" hidden="false" customHeight="false" outlineLevel="0" collapsed="false">
      <c r="A66" s="9" t="n">
        <v>46279</v>
      </c>
      <c r="B66" s="10" t="s">
        <v>18</v>
      </c>
      <c r="C66" s="10" t="s">
        <v>102</v>
      </c>
      <c r="D66" s="11" t="s">
        <v>111</v>
      </c>
      <c r="E66" s="11"/>
    </row>
    <row r="67" customFormat="false" ht="15" hidden="false" customHeight="false" outlineLevel="0" collapsed="false">
      <c r="A67" s="12" t="n">
        <v>46280</v>
      </c>
      <c r="B67" s="13" t="s">
        <v>38</v>
      </c>
      <c r="C67" s="13" t="s">
        <v>22</v>
      </c>
      <c r="D67" s="14" t="s">
        <v>112</v>
      </c>
      <c r="E67" s="14"/>
    </row>
    <row r="68" customFormat="false" ht="23.85" hidden="false" customHeight="false" outlineLevel="0" collapsed="false">
      <c r="A68" s="9" t="n">
        <v>46281</v>
      </c>
      <c r="B68" s="10" t="s">
        <v>21</v>
      </c>
      <c r="C68" s="10" t="s">
        <v>34</v>
      </c>
      <c r="D68" s="11" t="s">
        <v>113</v>
      </c>
      <c r="E68" s="11"/>
    </row>
    <row r="69" customFormat="false" ht="35.05" hidden="false" customHeight="false" outlineLevel="0" collapsed="false">
      <c r="A69" s="12" t="n">
        <v>46282</v>
      </c>
      <c r="B69" s="13" t="s">
        <v>24</v>
      </c>
      <c r="C69" s="13" t="s">
        <v>102</v>
      </c>
      <c r="D69" s="14" t="s">
        <v>114</v>
      </c>
      <c r="E69" s="14"/>
    </row>
    <row r="70" customFormat="false" ht="35.05" hidden="false" customHeight="false" outlineLevel="0" collapsed="false">
      <c r="A70" s="9" t="n">
        <v>46283</v>
      </c>
      <c r="B70" s="10" t="s">
        <v>27</v>
      </c>
      <c r="C70" s="10" t="s">
        <v>102</v>
      </c>
      <c r="D70" s="11" t="s">
        <v>115</v>
      </c>
      <c r="E70" s="11"/>
    </row>
    <row r="71" customFormat="false" ht="23.85" hidden="false" customHeight="false" outlineLevel="0" collapsed="false">
      <c r="A71" s="12" t="n">
        <v>46284</v>
      </c>
      <c r="B71" s="13" t="s">
        <v>29</v>
      </c>
      <c r="C71" s="13" t="s">
        <v>116</v>
      </c>
      <c r="D71" s="14" t="s">
        <v>117</v>
      </c>
      <c r="E71" s="14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7" t="s">
        <v>118</v>
      </c>
      <c r="B1" s="7"/>
      <c r="C1" s="7"/>
      <c r="D1" s="7"/>
    </row>
    <row r="3" customFormat="false" ht="15" hidden="false" customHeight="false" outlineLevel="0" collapsed="false">
      <c r="A3" s="18" t="s">
        <v>15</v>
      </c>
      <c r="B3" s="18" t="s">
        <v>119</v>
      </c>
      <c r="C3" s="18" t="s">
        <v>120</v>
      </c>
      <c r="D3" s="18" t="s">
        <v>121</v>
      </c>
    </row>
    <row r="4" customFormat="false" ht="15" hidden="false" customHeight="false" outlineLevel="0" collapsed="false">
      <c r="A4" s="19" t="s">
        <v>122</v>
      </c>
      <c r="B4" s="20" t="n">
        <v>46218</v>
      </c>
      <c r="C4" s="20" t="n">
        <v>46218</v>
      </c>
      <c r="D4" s="21" t="n">
        <f aca="false">C4-B4+1</f>
        <v>1</v>
      </c>
    </row>
    <row r="5" customFormat="false" ht="15" hidden="false" customHeight="false" outlineLevel="0" collapsed="false">
      <c r="A5" s="22" t="s">
        <v>25</v>
      </c>
      <c r="B5" s="23" t="n">
        <v>46219</v>
      </c>
      <c r="C5" s="23" t="n">
        <v>46220</v>
      </c>
      <c r="D5" s="24" t="n">
        <f aca="false">C5-B5+1</f>
        <v>2</v>
      </c>
    </row>
    <row r="6" customFormat="false" ht="15" hidden="false" customHeight="false" outlineLevel="0" collapsed="false">
      <c r="A6" s="19" t="s">
        <v>123</v>
      </c>
      <c r="B6" s="20" t="n">
        <v>46221</v>
      </c>
      <c r="C6" s="20" t="n">
        <v>46226</v>
      </c>
      <c r="D6" s="21" t="n">
        <f aca="false">C6-B6+1</f>
        <v>6</v>
      </c>
    </row>
    <row r="7" customFormat="false" ht="15" hidden="false" customHeight="false" outlineLevel="0" collapsed="false">
      <c r="A7" s="22" t="s">
        <v>124</v>
      </c>
      <c r="B7" s="23" t="n">
        <v>46227</v>
      </c>
      <c r="C7" s="23" t="n">
        <v>46228</v>
      </c>
      <c r="D7" s="24" t="n">
        <f aca="false">C7-B7+1</f>
        <v>2</v>
      </c>
    </row>
    <row r="8" customFormat="false" ht="15" hidden="false" customHeight="false" outlineLevel="0" collapsed="false">
      <c r="A8" s="19" t="s">
        <v>125</v>
      </c>
      <c r="B8" s="20" t="n">
        <v>46230</v>
      </c>
      <c r="C8" s="20" t="n">
        <v>46232</v>
      </c>
      <c r="D8" s="21" t="n">
        <f aca="false">C8-B8+1</f>
        <v>3</v>
      </c>
    </row>
    <row r="9" customFormat="false" ht="15" hidden="false" customHeight="false" outlineLevel="0" collapsed="false">
      <c r="A9" s="22" t="s">
        <v>53</v>
      </c>
      <c r="B9" s="23" t="n">
        <v>46233</v>
      </c>
      <c r="C9" s="23" t="n">
        <v>46237</v>
      </c>
      <c r="D9" s="24" t="n">
        <f aca="false">C9-B9+1</f>
        <v>5</v>
      </c>
    </row>
    <row r="10" customFormat="false" ht="15" hidden="false" customHeight="false" outlineLevel="0" collapsed="false">
      <c r="A10" s="19" t="s">
        <v>126</v>
      </c>
      <c r="B10" s="20" t="n">
        <v>46238</v>
      </c>
      <c r="C10" s="20" t="n">
        <v>46243</v>
      </c>
      <c r="D10" s="21" t="n">
        <f aca="false">C10-B10+1</f>
        <v>6</v>
      </c>
    </row>
    <row r="11" customFormat="false" ht="15" hidden="false" customHeight="false" outlineLevel="0" collapsed="false">
      <c r="A11" s="22" t="s">
        <v>127</v>
      </c>
      <c r="B11" s="23" t="n">
        <v>46244</v>
      </c>
      <c r="C11" s="23" t="n">
        <v>46251</v>
      </c>
      <c r="D11" s="24" t="n">
        <f aca="false">C11-B11+1</f>
        <v>8</v>
      </c>
    </row>
    <row r="12" customFormat="false" ht="15" hidden="false" customHeight="false" outlineLevel="0" collapsed="false">
      <c r="A12" s="19" t="s">
        <v>128</v>
      </c>
      <c r="B12" s="20" t="n">
        <v>46252</v>
      </c>
      <c r="C12" s="20" t="n">
        <v>46252</v>
      </c>
      <c r="D12" s="21" t="n">
        <f aca="false">C12-B12+1</f>
        <v>1</v>
      </c>
    </row>
    <row r="13" customFormat="false" ht="15" hidden="false" customHeight="false" outlineLevel="0" collapsed="false">
      <c r="A13" s="22" t="s">
        <v>129</v>
      </c>
      <c r="B13" s="23" t="n">
        <v>46253</v>
      </c>
      <c r="C13" s="23" t="n">
        <v>46258</v>
      </c>
      <c r="D13" s="24" t="n">
        <f aca="false">C13-B13+1</f>
        <v>6</v>
      </c>
    </row>
    <row r="14" customFormat="false" ht="15" hidden="false" customHeight="false" outlineLevel="0" collapsed="false">
      <c r="A14" s="19" t="s">
        <v>130</v>
      </c>
      <c r="B14" s="20" t="n">
        <v>46259</v>
      </c>
      <c r="C14" s="20" t="n">
        <v>46260</v>
      </c>
      <c r="D14" s="21" t="n">
        <f aca="false">C14-B14+1</f>
        <v>2</v>
      </c>
    </row>
    <row r="15" customFormat="false" ht="15" hidden="false" customHeight="false" outlineLevel="0" collapsed="false">
      <c r="A15" s="22" t="s">
        <v>131</v>
      </c>
      <c r="B15" s="23" t="n">
        <v>46261</v>
      </c>
      <c r="C15" s="23" t="n">
        <v>46263</v>
      </c>
      <c r="D15" s="24" t="n">
        <f aca="false">C15-B15+1</f>
        <v>3</v>
      </c>
    </row>
    <row r="16" customFormat="false" ht="15" hidden="false" customHeight="false" outlineLevel="0" collapsed="false">
      <c r="A16" s="19" t="s">
        <v>132</v>
      </c>
      <c r="B16" s="20" t="n">
        <v>46265</v>
      </c>
      <c r="C16" s="20" t="n">
        <v>46268</v>
      </c>
      <c r="D16" s="21" t="n">
        <f aca="false">C16-B16+1</f>
        <v>4</v>
      </c>
    </row>
    <row r="17" customFormat="false" ht="15" hidden="false" customHeight="false" outlineLevel="0" collapsed="false">
      <c r="A17" s="22" t="s">
        <v>133</v>
      </c>
      <c r="B17" s="23" t="n">
        <v>46269</v>
      </c>
      <c r="C17" s="23" t="n">
        <v>46274</v>
      </c>
      <c r="D17" s="24" t="n">
        <f aca="false">C17-B17+1</f>
        <v>6</v>
      </c>
    </row>
    <row r="18" customFormat="false" ht="15" hidden="false" customHeight="false" outlineLevel="0" collapsed="false">
      <c r="A18" s="19" t="s">
        <v>134</v>
      </c>
      <c r="B18" s="20" t="n">
        <v>46275</v>
      </c>
      <c r="C18" s="20" t="n">
        <v>46278</v>
      </c>
      <c r="D18" s="21" t="n">
        <f aca="false">C18-B18+1</f>
        <v>4</v>
      </c>
    </row>
    <row r="19" customFormat="false" ht="15" hidden="false" customHeight="false" outlineLevel="0" collapsed="false">
      <c r="A19" s="22" t="s">
        <v>135</v>
      </c>
      <c r="B19" s="23" t="n">
        <v>46279</v>
      </c>
      <c r="C19" s="23" t="n">
        <v>46283</v>
      </c>
      <c r="D19" s="24" t="n">
        <f aca="false">C19-B19+1</f>
        <v>5</v>
      </c>
    </row>
    <row r="20" customFormat="false" ht="15" hidden="false" customHeight="false" outlineLevel="0" collapsed="false">
      <c r="A20" s="19" t="s">
        <v>136</v>
      </c>
      <c r="B20" s="20" t="n">
        <v>46284</v>
      </c>
      <c r="C20" s="20" t="n">
        <v>46284</v>
      </c>
      <c r="D20" s="21" t="n">
        <f aca="false">C20-B20+1</f>
        <v>1</v>
      </c>
    </row>
    <row r="22" customFormat="false" ht="15" hidden="false" customHeight="false" outlineLevel="0" collapsed="false">
      <c r="A22" s="3" t="s">
        <v>137</v>
      </c>
      <c r="D22" s="3" t="n">
        <f aca="false">C20-B4+1</f>
        <v>67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3" min="3" style="0" width="30"/>
  </cols>
  <sheetData>
    <row r="1" customFormat="false" ht="21.75" hidden="false" customHeight="true" outlineLevel="0" collapsed="false">
      <c r="A1" s="7" t="s">
        <v>138</v>
      </c>
      <c r="B1" s="7"/>
      <c r="C1" s="7"/>
    </row>
    <row r="3" customFormat="false" ht="15" hidden="false" customHeight="false" outlineLevel="0" collapsed="false">
      <c r="A3" s="25" t="s">
        <v>139</v>
      </c>
    </row>
    <row r="4" customFormat="false" ht="15" hidden="false" customHeight="false" outlineLevel="0" collapsed="false">
      <c r="A4" s="18" t="s">
        <v>140</v>
      </c>
      <c r="B4" s="18" t="s">
        <v>141</v>
      </c>
    </row>
    <row r="5" customFormat="false" ht="15" hidden="false" customHeight="false" outlineLevel="0" collapsed="false">
      <c r="A5" s="26" t="n">
        <v>1</v>
      </c>
      <c r="B5" s="27" t="n">
        <v>19300</v>
      </c>
    </row>
    <row r="6" customFormat="false" ht="15" hidden="false" customHeight="false" outlineLevel="0" collapsed="false">
      <c r="A6" s="28" t="n">
        <v>2</v>
      </c>
      <c r="B6" s="29" t="n">
        <v>11150</v>
      </c>
    </row>
    <row r="7" customFormat="false" ht="15" hidden="false" customHeight="false" outlineLevel="0" collapsed="false">
      <c r="A7" s="26" t="n">
        <v>3</v>
      </c>
      <c r="B7" s="27" t="n">
        <v>14250</v>
      </c>
    </row>
    <row r="9" customFormat="false" ht="15" hidden="false" customHeight="false" outlineLevel="0" collapsed="false">
      <c r="A9" s="3" t="s">
        <v>142</v>
      </c>
      <c r="B9" s="30" t="n">
        <v>45000</v>
      </c>
    </row>
    <row r="10" customFormat="false" ht="15" hidden="false" customHeight="false" outlineLevel="0" collapsed="false">
      <c r="A10" s="3" t="s">
        <v>143</v>
      </c>
      <c r="B10" s="31" t="n">
        <f aca="false">B9-SUM(B5:B7)</f>
        <v>300</v>
      </c>
    </row>
    <row r="13" customFormat="false" ht="15" hidden="false" customHeight="false" outlineLevel="0" collapsed="false">
      <c r="A13" s="25" t="s">
        <v>144</v>
      </c>
    </row>
    <row r="14" customFormat="false" ht="15" hidden="false" customHeight="false" outlineLevel="0" collapsed="false">
      <c r="A14" s="18" t="s">
        <v>145</v>
      </c>
      <c r="B14" s="18" t="s">
        <v>141</v>
      </c>
      <c r="C14" s="18" t="s">
        <v>17</v>
      </c>
    </row>
    <row r="15" customFormat="false" ht="15" hidden="false" customHeight="false" outlineLevel="0" collapsed="false">
      <c r="A15" s="32" t="s">
        <v>146</v>
      </c>
      <c r="B15" s="33" t="n">
        <v>450</v>
      </c>
      <c r="C15" s="22"/>
    </row>
    <row r="16" customFormat="false" ht="15" hidden="false" customHeight="false" outlineLevel="0" collapsed="false">
      <c r="A16" s="34" t="s">
        <v>147</v>
      </c>
      <c r="B16" s="35" t="n">
        <v>5000</v>
      </c>
      <c r="C16" s="19"/>
    </row>
    <row r="17" customFormat="false" ht="23.85" hidden="false" customHeight="false" outlineLevel="0" collapsed="false">
      <c r="A17" s="32" t="s">
        <v>148</v>
      </c>
      <c r="B17" s="33" t="n">
        <v>6270</v>
      </c>
      <c r="C17" s="22"/>
    </row>
    <row r="18" customFormat="false" ht="15" hidden="false" customHeight="false" outlineLevel="0" collapsed="false">
      <c r="A18" s="34" t="s">
        <v>149</v>
      </c>
      <c r="B18" s="35" t="n">
        <v>4000</v>
      </c>
      <c r="C18" s="19" t="s">
        <v>150</v>
      </c>
    </row>
    <row r="19" customFormat="false" ht="15" hidden="false" customHeight="false" outlineLevel="0" collapsed="false">
      <c r="A19" s="32" t="s">
        <v>151</v>
      </c>
      <c r="B19" s="33" t="n">
        <v>400</v>
      </c>
      <c r="C19" s="22"/>
    </row>
    <row r="20" customFormat="false" ht="15" hidden="false" customHeight="false" outlineLevel="0" collapsed="false">
      <c r="A20" s="34" t="s">
        <v>152</v>
      </c>
      <c r="B20" s="35" t="n">
        <v>3500</v>
      </c>
      <c r="C20" s="19" t="s">
        <v>150</v>
      </c>
    </row>
    <row r="21" customFormat="false" ht="15" hidden="false" customHeight="false" outlineLevel="0" collapsed="false">
      <c r="A21" s="32" t="s">
        <v>153</v>
      </c>
      <c r="B21" s="33" t="n">
        <v>5100</v>
      </c>
      <c r="C21" s="22" t="s">
        <v>150</v>
      </c>
    </row>
    <row r="22" customFormat="false" ht="15" hidden="false" customHeight="false" outlineLevel="0" collapsed="false">
      <c r="A22" s="34" t="s">
        <v>154</v>
      </c>
      <c r="B22" s="35" t="n">
        <v>1156</v>
      </c>
      <c r="C22" s="19" t="s">
        <v>150</v>
      </c>
    </row>
    <row r="23" customFormat="false" ht="15" hidden="false" customHeight="false" outlineLevel="0" collapsed="false">
      <c r="A23" s="32" t="s">
        <v>155</v>
      </c>
      <c r="B23" s="33" t="n">
        <v>1000</v>
      </c>
      <c r="C23" s="22" t="s">
        <v>150</v>
      </c>
    </row>
    <row r="24" customFormat="false" ht="15" hidden="false" customHeight="false" outlineLevel="0" collapsed="false">
      <c r="A24" s="34" t="s">
        <v>156</v>
      </c>
      <c r="B24" s="35" t="n">
        <v>3450</v>
      </c>
      <c r="C24" s="19" t="s">
        <v>157</v>
      </c>
    </row>
    <row r="25" customFormat="false" ht="15" hidden="false" customHeight="false" outlineLevel="0" collapsed="false">
      <c r="A25" s="32" t="s">
        <v>158</v>
      </c>
      <c r="B25" s="33" t="n">
        <v>3450</v>
      </c>
      <c r="C25" s="22" t="s">
        <v>157</v>
      </c>
    </row>
    <row r="26" customFormat="false" ht="15" hidden="false" customHeight="false" outlineLevel="0" collapsed="false">
      <c r="A26" s="34" t="s">
        <v>159</v>
      </c>
      <c r="B26" s="35" t="n">
        <v>220</v>
      </c>
      <c r="C26" s="19"/>
    </row>
    <row r="27" customFormat="false" ht="15" hidden="false" customHeight="false" outlineLevel="0" collapsed="false">
      <c r="A27" s="32" t="s">
        <v>160</v>
      </c>
      <c r="B27" s="33" t="n">
        <v>199</v>
      </c>
      <c r="C27" s="22"/>
    </row>
    <row r="28" customFormat="false" ht="15" hidden="false" customHeight="false" outlineLevel="0" collapsed="false">
      <c r="A28" s="34" t="s">
        <v>161</v>
      </c>
      <c r="B28" s="35" t="n">
        <v>170</v>
      </c>
      <c r="C28" s="19" t="s">
        <v>150</v>
      </c>
    </row>
    <row r="29" customFormat="false" ht="15" hidden="false" customHeight="false" outlineLevel="0" collapsed="false">
      <c r="A29" s="32" t="s">
        <v>162</v>
      </c>
      <c r="B29" s="33" t="n">
        <v>1000</v>
      </c>
      <c r="C29" s="22"/>
    </row>
    <row r="30" customFormat="false" ht="15" hidden="false" customHeight="false" outlineLevel="0" collapsed="false">
      <c r="A30" s="34" t="s">
        <v>163</v>
      </c>
      <c r="B30" s="35" t="n">
        <v>1000</v>
      </c>
      <c r="C30" s="19"/>
    </row>
    <row r="31" customFormat="false" ht="15" hidden="false" customHeight="false" outlineLevel="0" collapsed="false">
      <c r="A31" s="32" t="s">
        <v>164</v>
      </c>
      <c r="B31" s="33" t="n">
        <v>530</v>
      </c>
      <c r="C31" s="22" t="s">
        <v>150</v>
      </c>
    </row>
    <row r="32" customFormat="false" ht="15" hidden="false" customHeight="false" outlineLevel="0" collapsed="false">
      <c r="A32" s="34" t="s">
        <v>165</v>
      </c>
      <c r="B32" s="35" t="n">
        <v>500</v>
      </c>
      <c r="C32" s="19" t="s">
        <v>150</v>
      </c>
    </row>
    <row r="33" customFormat="false" ht="15" hidden="false" customHeight="false" outlineLevel="0" collapsed="false">
      <c r="A33" s="32" t="s">
        <v>166</v>
      </c>
      <c r="B33" s="33" t="n">
        <v>434</v>
      </c>
      <c r="C33" s="22"/>
    </row>
    <row r="34" customFormat="false" ht="15" hidden="false" customHeight="false" outlineLevel="0" collapsed="false">
      <c r="A34" s="34" t="s">
        <v>167</v>
      </c>
      <c r="B34" s="35" t="n">
        <v>3588</v>
      </c>
      <c r="C34" s="19" t="s">
        <v>150</v>
      </c>
    </row>
    <row r="35" customFormat="false" ht="15" hidden="false" customHeight="false" outlineLevel="0" collapsed="false">
      <c r="A35" s="32" t="s">
        <v>168</v>
      </c>
      <c r="B35" s="33" t="n">
        <v>2400</v>
      </c>
      <c r="C35" s="22"/>
    </row>
    <row r="36" customFormat="false" ht="35.05" hidden="false" customHeight="false" outlineLevel="0" collapsed="false">
      <c r="A36" s="34" t="s">
        <v>169</v>
      </c>
      <c r="B36" s="35" t="n">
        <v>1183</v>
      </c>
      <c r="C36" s="19" t="s">
        <v>150</v>
      </c>
    </row>
    <row r="37" customFormat="false" ht="15" hidden="false" customHeight="false" outlineLevel="0" collapsed="false">
      <c r="A37" s="3" t="s">
        <v>170</v>
      </c>
      <c r="B37" s="31" t="n">
        <f aca="false">SUM(B15:B36)</f>
        <v>45000</v>
      </c>
    </row>
    <row r="38" customFormat="false" ht="15" hidden="false" customHeight="false" outlineLevel="0" collapsed="false">
      <c r="A38" s="3" t="s">
        <v>171</v>
      </c>
      <c r="B38" s="31" t="n">
        <f aca="false">45000-B37</f>
        <v>0</v>
      </c>
    </row>
    <row r="40" customFormat="false" ht="15" hidden="false" customHeight="true" outlineLevel="0" collapsed="false">
      <c r="A40" s="36" t="s">
        <v>172</v>
      </c>
      <c r="B40" s="36"/>
      <c r="C40" s="36"/>
    </row>
    <row r="41" customFormat="false" ht="15" hidden="false" customHeight="false" outlineLevel="0" collapsed="false">
      <c r="A41" s="36"/>
      <c r="B41" s="36"/>
      <c r="C41" s="36"/>
    </row>
  </sheetData>
  <mergeCells count="2">
    <mergeCell ref="A1:C1"/>
    <mergeCell ref="A40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8"/>
  </cols>
  <sheetData>
    <row r="1" customFormat="false" ht="21.75" hidden="false" customHeight="true" outlineLevel="0" collapsed="false">
      <c r="A1" s="7" t="s">
        <v>173</v>
      </c>
      <c r="B1" s="7"/>
      <c r="C1" s="7"/>
      <c r="D1" s="7"/>
      <c r="E1" s="7"/>
    </row>
    <row r="2" customFormat="false" ht="15" hidden="false" customHeight="false" outlineLevel="0" collapsed="false">
      <c r="A2" s="37" t="s">
        <v>174</v>
      </c>
      <c r="B2" s="37"/>
      <c r="C2" s="37"/>
      <c r="D2" s="37"/>
      <c r="E2" s="37"/>
    </row>
    <row r="4" customFormat="false" ht="15" hidden="false" customHeight="false" outlineLevel="0" collapsed="false">
      <c r="A4" s="25" t="s">
        <v>175</v>
      </c>
    </row>
    <row r="5" customFormat="false" ht="15" hidden="false" customHeight="false" outlineLevel="0" collapsed="false">
      <c r="A5" s="3" t="s">
        <v>176</v>
      </c>
      <c r="B5" s="38" t="n">
        <v>315000</v>
      </c>
    </row>
    <row r="6" customFormat="false" ht="15" hidden="false" customHeight="false" outlineLevel="0" collapsed="false">
      <c r="A6" s="3" t="s">
        <v>177</v>
      </c>
      <c r="B6" s="39" t="n">
        <v>30200</v>
      </c>
    </row>
    <row r="7" customFormat="false" ht="15" hidden="false" customHeight="false" outlineLevel="0" collapsed="false">
      <c r="A7" s="3" t="s">
        <v>178</v>
      </c>
      <c r="B7" s="31" t="n">
        <f aca="false">B5-B6</f>
        <v>284800</v>
      </c>
    </row>
    <row r="8" customFormat="false" ht="15" hidden="false" customHeight="false" outlineLevel="0" collapsed="false">
      <c r="A8" s="4" t="s">
        <v>179</v>
      </c>
      <c r="B8" s="40" t="n">
        <f aca="false">B7/B5</f>
        <v>0.904126984126984</v>
      </c>
    </row>
    <row r="10" customFormat="false" ht="15" hidden="false" customHeight="false" outlineLevel="0" collapsed="false">
      <c r="A10" s="25" t="s">
        <v>180</v>
      </c>
    </row>
    <row r="11" customFormat="false" ht="15" hidden="false" customHeight="false" outlineLevel="0" collapsed="false">
      <c r="A11" s="3" t="s">
        <v>181</v>
      </c>
      <c r="B11" s="38" t="n">
        <v>1400</v>
      </c>
    </row>
    <row r="12" customFormat="false" ht="15" hidden="false" customHeight="false" outlineLevel="0" collapsed="false">
      <c r="A12" s="3" t="s">
        <v>182</v>
      </c>
      <c r="B12" s="38" t="n">
        <v>7500</v>
      </c>
    </row>
    <row r="13" customFormat="false" ht="15" hidden="false" customHeight="false" outlineLevel="0" collapsed="false">
      <c r="A13" s="3" t="s">
        <v>183</v>
      </c>
      <c r="B13" s="31" t="n">
        <f aca="false">B11+B12</f>
        <v>8900</v>
      </c>
    </row>
    <row r="14" customFormat="false" ht="15" hidden="false" customHeight="false" outlineLevel="0" collapsed="false">
      <c r="A14" s="3" t="s">
        <v>184</v>
      </c>
      <c r="B14" s="39" t="n">
        <f aca="false">B6+B13</f>
        <v>39100</v>
      </c>
    </row>
    <row r="16" customFormat="false" ht="15" hidden="false" customHeight="false" outlineLevel="0" collapsed="false">
      <c r="A16" s="25" t="s">
        <v>185</v>
      </c>
    </row>
    <row r="17" customFormat="false" ht="15" hidden="false" customHeight="false" outlineLevel="0" collapsed="false">
      <c r="A17" s="3" t="s">
        <v>186</v>
      </c>
      <c r="B17" s="38" t="n">
        <f aca="false">Financiamiento!B9</f>
        <v>45000</v>
      </c>
    </row>
    <row r="18" customFormat="false" ht="15" hidden="false" customHeight="false" outlineLevel="0" collapsed="false">
      <c r="A18" s="3" t="s">
        <v>187</v>
      </c>
      <c r="B18" s="31" t="n">
        <f aca="false">B7+B17</f>
        <v>329800</v>
      </c>
    </row>
    <row r="19" customFormat="false" ht="15" hidden="false" customHeight="false" outlineLevel="0" collapsed="false">
      <c r="A19" s="3" t="s">
        <v>188</v>
      </c>
      <c r="B19" s="41" t="n">
        <v>0.12</v>
      </c>
    </row>
    <row r="20" customFormat="false" ht="15" hidden="false" customHeight="false" outlineLevel="0" collapsed="false">
      <c r="A20" s="3" t="s">
        <v>189</v>
      </c>
      <c r="B20" s="5" t="n">
        <f aca="false">Resumen!B7</f>
        <v>46216</v>
      </c>
    </row>
    <row r="21" customFormat="false" ht="15" hidden="false" customHeight="false" outlineLevel="0" collapsed="false">
      <c r="A21" s="3" t="s">
        <v>190</v>
      </c>
      <c r="B21" s="42" t="n">
        <v>46285</v>
      </c>
      <c r="C21" s="43" t="s">
        <v>191</v>
      </c>
    </row>
    <row r="22" customFormat="false" ht="15" hidden="false" customHeight="false" outlineLevel="0" collapsed="false">
      <c r="A22" s="3" t="s">
        <v>192</v>
      </c>
      <c r="B22" s="44" t="n">
        <f aca="false">B21-B20</f>
        <v>69</v>
      </c>
    </row>
    <row r="23" customFormat="false" ht="15" hidden="false" customHeight="false" outlineLevel="0" collapsed="false">
      <c r="A23" s="3" t="s">
        <v>193</v>
      </c>
      <c r="B23" s="31" t="n">
        <f aca="false">B18*B19*B22/365</f>
        <v>7481.4904109589</v>
      </c>
      <c r="C23" s="43" t="s">
        <v>194</v>
      </c>
    </row>
    <row r="25" customFormat="false" ht="15" hidden="false" customHeight="false" outlineLevel="0" collapsed="false">
      <c r="A25" s="25" t="s">
        <v>195</v>
      </c>
    </row>
    <row r="26" customFormat="false" ht="15" hidden="false" customHeight="false" outlineLevel="0" collapsed="false">
      <c r="A26" s="4" t="s">
        <v>196</v>
      </c>
      <c r="B26" s="38" t="n">
        <f aca="false">B6</f>
        <v>30200</v>
      </c>
    </row>
    <row r="27" customFormat="false" ht="15" hidden="false" customHeight="false" outlineLevel="0" collapsed="false">
      <c r="A27" s="4" t="s">
        <v>197</v>
      </c>
      <c r="B27" s="38" t="n">
        <f aca="false">B13</f>
        <v>8900</v>
      </c>
    </row>
    <row r="28" customFormat="false" ht="15" hidden="false" customHeight="false" outlineLevel="0" collapsed="false">
      <c r="A28" s="4" t="s">
        <v>198</v>
      </c>
      <c r="B28" s="38" t="n">
        <f aca="false">B7</f>
        <v>284800</v>
      </c>
    </row>
    <row r="29" customFormat="false" ht="15" hidden="false" customHeight="false" outlineLevel="0" collapsed="false">
      <c r="A29" s="4" t="s">
        <v>199</v>
      </c>
      <c r="B29" s="38" t="n">
        <f aca="false">B17</f>
        <v>45000</v>
      </c>
    </row>
    <row r="30" customFormat="false" ht="15" hidden="false" customHeight="false" outlineLevel="0" collapsed="false">
      <c r="A30" s="4" t="s">
        <v>200</v>
      </c>
      <c r="B30" s="38" t="n">
        <f aca="false">B23</f>
        <v>7481.4904109589</v>
      </c>
    </row>
    <row r="31" customFormat="false" ht="15" hidden="false" customHeight="false" outlineLevel="0" collapsed="false">
      <c r="A31" s="3" t="s">
        <v>201</v>
      </c>
      <c r="B31" s="31" t="n">
        <f aca="false">SUM(B26:B30)</f>
        <v>376381.490410959</v>
      </c>
    </row>
    <row r="33" customFormat="false" ht="15" hidden="false" customHeight="false" outlineLevel="0" collapsed="false">
      <c r="A33" s="25" t="s">
        <v>202</v>
      </c>
    </row>
    <row r="34" customFormat="false" ht="15" hidden="false" customHeight="false" outlineLevel="0" collapsed="false">
      <c r="A34" s="3" t="s">
        <v>203</v>
      </c>
      <c r="B34" s="39" t="n">
        <v>450000</v>
      </c>
    </row>
    <row r="35" customFormat="false" ht="15" hidden="false" customHeight="false" outlineLevel="0" collapsed="false">
      <c r="A35" s="3" t="s">
        <v>204</v>
      </c>
      <c r="B35" s="31" t="n">
        <f aca="false">B34-B31</f>
        <v>73618.5095890411</v>
      </c>
    </row>
    <row r="36" customFormat="false" ht="15" hidden="false" customHeight="false" outlineLevel="0" collapsed="false">
      <c r="A36" s="3" t="s">
        <v>205</v>
      </c>
      <c r="B36" s="45" t="n">
        <v>0.21</v>
      </c>
      <c r="C36" s="43" t="s">
        <v>206</v>
      </c>
    </row>
    <row r="37" customFormat="false" ht="15" hidden="false" customHeight="false" outlineLevel="0" collapsed="false">
      <c r="A37" s="4" t="s">
        <v>207</v>
      </c>
      <c r="B37" s="38" t="n">
        <f aca="false">B35*B36</f>
        <v>15459.8870136986</v>
      </c>
    </row>
    <row r="38" customFormat="false" ht="15" hidden="false" customHeight="false" outlineLevel="0" collapsed="false">
      <c r="A38" s="3" t="s">
        <v>208</v>
      </c>
      <c r="B38" s="39" t="n">
        <f aca="false">B35-B37</f>
        <v>58158.6225753425</v>
      </c>
    </row>
    <row r="40" customFormat="false" ht="15" hidden="false" customHeight="false" outlineLevel="0" collapsed="false">
      <c r="A40" s="25" t="s">
        <v>209</v>
      </c>
    </row>
    <row r="41" customFormat="false" ht="15" hidden="false" customHeight="false" outlineLevel="0" collapsed="false">
      <c r="A41" s="4" t="s">
        <v>210</v>
      </c>
      <c r="B41" s="41" t="n">
        <v>0.5</v>
      </c>
    </row>
    <row r="42" customFormat="false" ht="15" hidden="false" customHeight="false" outlineLevel="0" collapsed="false">
      <c r="A42" s="4" t="s">
        <v>211</v>
      </c>
      <c r="B42" s="41" t="n">
        <v>0.5</v>
      </c>
    </row>
    <row r="43" customFormat="false" ht="15" hidden="false" customHeight="false" outlineLevel="0" collapsed="false">
      <c r="A43" s="3" t="s">
        <v>212</v>
      </c>
      <c r="B43" s="31" t="n">
        <f aca="false">B38*B41</f>
        <v>29079.3112876712</v>
      </c>
    </row>
    <row r="44" customFormat="false" ht="15" hidden="false" customHeight="false" outlineLevel="0" collapsed="false">
      <c r="A44" s="3" t="s">
        <v>213</v>
      </c>
      <c r="B44" s="31" t="n">
        <f aca="false">B38*B42</f>
        <v>29079.3112876712</v>
      </c>
    </row>
    <row r="46" customFormat="false" ht="15" hidden="false" customHeight="true" outlineLevel="0" collapsed="false">
      <c r="A46" s="6" t="s">
        <v>214</v>
      </c>
      <c r="B46" s="6"/>
      <c r="C46" s="6"/>
      <c r="D46" s="6"/>
      <c r="E46" s="6"/>
    </row>
    <row r="47" customFormat="false" ht="15" hidden="false" customHeight="false" outlineLevel="0" collapsed="false">
      <c r="A47" s="6"/>
      <c r="B47" s="6"/>
      <c r="C47" s="6"/>
      <c r="D47" s="6"/>
      <c r="E47" s="6"/>
    </row>
    <row r="49" customFormat="false" ht="15" hidden="false" customHeight="false" outlineLevel="0" collapsed="false">
      <c r="A49" s="25" t="s">
        <v>215</v>
      </c>
    </row>
    <row r="50" customFormat="false" ht="15" hidden="false" customHeight="false" outlineLevel="0" collapsed="false">
      <c r="A50" s="46" t="s">
        <v>216</v>
      </c>
      <c r="B50" s="46" t="s">
        <v>217</v>
      </c>
      <c r="C50" s="46" t="s">
        <v>218</v>
      </c>
      <c r="D50" s="46" t="s">
        <v>219</v>
      </c>
      <c r="E50" s="46" t="s">
        <v>220</v>
      </c>
    </row>
    <row r="51" customFormat="false" ht="15" hidden="false" customHeight="false" outlineLevel="0" collapsed="false">
      <c r="A51" s="27" t="n">
        <v>420000</v>
      </c>
      <c r="B51" s="27" t="n">
        <f aca="false">A51-B31</f>
        <v>43618.5095890411</v>
      </c>
      <c r="C51" s="27" t="n">
        <f aca="false">B51*B36</f>
        <v>9159.88701369864</v>
      </c>
      <c r="D51" s="27" t="n">
        <f aca="false">B51-C51</f>
        <v>34458.6225753425</v>
      </c>
      <c r="E51" s="27" t="n">
        <f aca="false">D51*B41</f>
        <v>17229.3112876712</v>
      </c>
    </row>
    <row r="52" customFormat="false" ht="15" hidden="false" customHeight="false" outlineLevel="0" collapsed="false">
      <c r="A52" s="27" t="n">
        <v>435000</v>
      </c>
      <c r="B52" s="27" t="n">
        <f aca="false">A52-B31</f>
        <v>58618.5095890411</v>
      </c>
      <c r="C52" s="27" t="n">
        <f aca="false">B52*B36</f>
        <v>12309.8870136986</v>
      </c>
      <c r="D52" s="27" t="n">
        <f aca="false">B52-C52</f>
        <v>46308.6225753425</v>
      </c>
      <c r="E52" s="27" t="n">
        <f aca="false">D52*B41</f>
        <v>23154.3112876712</v>
      </c>
    </row>
    <row r="53" customFormat="false" ht="15" hidden="false" customHeight="false" outlineLevel="0" collapsed="false">
      <c r="A53" s="29" t="n">
        <v>450000</v>
      </c>
      <c r="B53" s="29" t="n">
        <f aca="false">A53-B31</f>
        <v>73618.5095890411</v>
      </c>
      <c r="C53" s="29" t="n">
        <f aca="false">B53*B36</f>
        <v>15459.8870136986</v>
      </c>
      <c r="D53" s="29" t="n">
        <f aca="false">B53-C53</f>
        <v>58158.6225753425</v>
      </c>
      <c r="E53" s="29" t="n">
        <f aca="false">D53*B41</f>
        <v>29079.3112876712</v>
      </c>
    </row>
    <row r="54" customFormat="false" ht="15" hidden="false" customHeight="false" outlineLevel="0" collapsed="false">
      <c r="A54" s="27" t="n">
        <v>465000</v>
      </c>
      <c r="B54" s="27" t="n">
        <f aca="false">A54-B31</f>
        <v>88618.5095890411</v>
      </c>
      <c r="C54" s="27" t="n">
        <f aca="false">B54*B36</f>
        <v>18609.8870136986</v>
      </c>
      <c r="D54" s="27" t="n">
        <f aca="false">B54-C54</f>
        <v>70008.6225753425</v>
      </c>
      <c r="E54" s="27" t="n">
        <f aca="false">D54*B41</f>
        <v>35004.3112876712</v>
      </c>
    </row>
    <row r="55" customFormat="false" ht="15" hidden="false" customHeight="false" outlineLevel="0" collapsed="false">
      <c r="A55" s="27" t="n">
        <v>480000</v>
      </c>
      <c r="B55" s="27" t="n">
        <f aca="false">A55-B31</f>
        <v>103618.509589041</v>
      </c>
      <c r="C55" s="27" t="n">
        <f aca="false">B55*B36</f>
        <v>21759.8870136986</v>
      </c>
      <c r="D55" s="27" t="n">
        <f aca="false">B55-C55</f>
        <v>81858.6225753425</v>
      </c>
      <c r="E55" s="27" t="n">
        <f aca="false">D55*B41</f>
        <v>40929.3112876712</v>
      </c>
    </row>
    <row r="57" customFormat="false" ht="15" hidden="false" customHeight="true" outlineLevel="0" collapsed="false">
      <c r="A57" s="6" t="s">
        <v>221</v>
      </c>
      <c r="B57" s="6"/>
      <c r="C57" s="6"/>
      <c r="D57" s="6"/>
      <c r="E57" s="6"/>
    </row>
    <row r="58" customFormat="false" ht="15" hidden="false" customHeight="false" outlineLevel="0" collapsed="false">
      <c r="A58" s="6"/>
      <c r="B58" s="6"/>
      <c r="C58" s="6"/>
      <c r="D58" s="6"/>
      <c r="E58" s="6"/>
    </row>
  </sheetData>
  <mergeCells count="4">
    <mergeCell ref="A1:E1"/>
    <mergeCell ref="A2:E2"/>
    <mergeCell ref="A46:E47"/>
    <mergeCell ref="A57:E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2026-09-22T15:29:05Z</dcterms:created>
  <dc:creator>openpyxl</dc:creator>
  <dc:description/>
  <dc:language>en-US</dc:language>
  <cp:lastModifiedBy/>
  <dcterms:modified xsi:type="dcterms:W3CDTF">2026-09-22T15:29:05Z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