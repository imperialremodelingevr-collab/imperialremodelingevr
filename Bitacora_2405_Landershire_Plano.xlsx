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itacora" sheetId="2" state="visible" r:id="rId2"/>
    <sheet xmlns:r="http://schemas.openxmlformats.org/officeDocument/2006/relationships" name="Fases" sheetId="3" state="visible" r:id="rId3"/>
    <sheet xmlns:r="http://schemas.openxmlformats.org/officeDocument/2006/relationships" name="Financiamiento" sheetId="4" state="visible" r:id="rId4"/>
    <sheet xmlns:r="http://schemas.openxmlformats.org/officeDocument/2006/relationships" name="Ganancia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\$#,##0"/>
    <numFmt numFmtId="166" formatCode="0.0%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7F7F7F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7F7F7F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C9A84C"/>
        <bgColor rgb="FFFF9900"/>
      </patternFill>
    </fill>
    <fill>
      <patternFill patternType="solid">
        <fgColor rgb="FFF5EBD0"/>
        <bgColor rgb="FFF2F2F2"/>
      </patternFill>
    </fill>
    <fill>
      <patternFill patternType="solid">
        <fgColor rgb="FFF2F2F2"/>
        <bgColor rgb="FFF5EBD0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164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 wrapText="1"/>
    </xf>
    <xf numFmtId="164" fontId="11" fillId="5" borderId="1" applyAlignment="1" pivotButton="0" quotePrefix="0" xfId="0">
      <alignment horizontal="general" vertical="center"/>
    </xf>
    <xf numFmtId="0" fontId="11" fillId="5" borderId="1" applyAlignment="1" pivotButton="0" quotePrefix="0" xfId="0">
      <alignment horizontal="general" vertical="center"/>
    </xf>
    <xf numFmtId="0" fontId="11" fillId="5" borderId="1" applyAlignment="1" pivotButton="0" quotePrefix="0" xfId="0">
      <alignment horizontal="general" vertical="center" wrapText="1"/>
    </xf>
    <xf numFmtId="0" fontId="10" fillId="2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/>
    </xf>
    <xf numFmtId="165" fontId="7" fillId="4" borderId="1" applyAlignment="1" pivotButton="0" quotePrefix="0" xfId="0">
      <alignment horizontal="center" vertical="bottom"/>
    </xf>
    <xf numFmtId="165" fontId="6" fillId="0" borderId="0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165" fontId="7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indent="1"/>
    </xf>
    <xf numFmtId="165" fontId="7" fillId="0" borderId="0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9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9" fontId="6" fillId="4" borderId="1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164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 wrapText="1"/>
    </xf>
    <xf numFmtId="164" fontId="11" fillId="5" borderId="1" applyAlignment="1" pivotButton="0" quotePrefix="0" xfId="0">
      <alignment horizontal="general" vertical="center"/>
    </xf>
    <xf numFmtId="0" fontId="11" fillId="5" borderId="1" applyAlignment="1" pivotButton="0" quotePrefix="0" xfId="0">
      <alignment horizontal="general" vertical="center"/>
    </xf>
    <xf numFmtId="0" fontId="11" fillId="5" borderId="1" applyAlignment="1" pivotButton="0" quotePrefix="0" xfId="0">
      <alignment horizontal="general" vertical="center" wrapText="1"/>
    </xf>
    <xf numFmtId="164" fontId="7" fillId="4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164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 wrapText="1"/>
    </xf>
    <xf numFmtId="0" fontId="10" fillId="2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/>
    </xf>
    <xf numFmtId="165" fontId="7" fillId="4" borderId="1" applyAlignment="1" pivotButton="0" quotePrefix="0" xfId="0">
      <alignment horizontal="center" vertical="bottom"/>
    </xf>
    <xf numFmtId="165" fontId="6" fillId="0" borderId="0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165" fontId="7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indent="1"/>
    </xf>
    <xf numFmtId="165" fontId="7" fillId="0" borderId="0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9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9" fontId="6" fillId="4" borderId="1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bottom" wrapText="1"/>
    </xf>
    <xf numFmtId="165" fontId="7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5EBD0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0</row>
      <rowOff>0</rowOff>
    </from>
    <to>
      <col>6</col>
      <colOff>571320</colOff>
      <row>2</row>
      <rowOff>190440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86080" y="0"/>
          <a:ext cx="571320" cy="5713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5</col>
      <colOff>0</colOff>
      <row>0</row>
      <rowOff>0</rowOff>
    </from>
    <to>
      <col>5</col>
      <colOff>571320</colOff>
      <row>2</row>
      <rowOff>104760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444960" y="0"/>
          <a:ext cx="571320" cy="5713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4</col>
      <colOff>0</colOff>
      <row>0</row>
      <rowOff>0</rowOff>
    </from>
    <to>
      <col>4</col>
      <colOff>571320</colOff>
      <row>2</row>
      <rowOff>175680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497920" y="0"/>
          <a:ext cx="571320" cy="5713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3</col>
      <colOff>0</colOff>
      <row>0</row>
      <rowOff>0</rowOff>
    </from>
    <to>
      <col>3</col>
      <colOff>571320</colOff>
      <row>2</row>
      <rowOff>104760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66560" y="0"/>
          <a:ext cx="571320" cy="5713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5</col>
      <colOff>0</colOff>
      <row>0</row>
      <rowOff>0</rowOff>
    </from>
    <to>
      <col>5</col>
      <colOff>571320</colOff>
      <row>2</row>
      <rowOff>104760</rowOff>
    </to>
    <pic>
      <nvPicPr>
        <cNvPr id="4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81200" y="0"/>
          <a:ext cx="571320" cy="5713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7" min="1" max="1"/>
    <col width="46" customWidth="1" style="47" min="2" max="2"/>
    <col width="14" customWidth="1" style="47" min="3" max="6"/>
  </cols>
  <sheetData>
    <row r="1" ht="15" customHeight="1" s="48">
      <c r="A1" s="49" t="inlineStr">
        <is>
          <t>IMPERIAL REMODELING — EVR</t>
        </is>
      </c>
    </row>
    <row r="2" ht="15" customHeight="1" s="48"/>
    <row r="3" ht="15" customHeight="1" s="48">
      <c r="A3" s="50" t="inlineStr">
        <is>
          <t>Bitácora de Obra — Proyecto de Inversión (Flip)</t>
        </is>
      </c>
    </row>
    <row r="5" ht="15" customHeight="1" s="48">
      <c r="A5" s="104" t="inlineStr">
        <is>
          <t>Propiedad:</t>
        </is>
      </c>
      <c r="B5" s="52" t="inlineStr">
        <is>
          <t>2405 Landershire Ln, Plano, TX 75023</t>
        </is>
      </c>
    </row>
    <row r="6" ht="15" customHeight="1" s="48">
      <c r="A6" s="104" t="inlineStr">
        <is>
          <t>Tipo de proyecto:</t>
        </is>
      </c>
      <c r="B6" s="52" t="inlineStr">
        <is>
          <t>Casa de inversión (flip)</t>
        </is>
      </c>
    </row>
    <row r="7" ht="15" customHeight="1" s="48">
      <c r="A7" s="104" t="inlineStr">
        <is>
          <t>Fecha de firma de contrato:</t>
        </is>
      </c>
      <c r="B7" s="53" t="n">
        <v>46216</v>
      </c>
    </row>
    <row r="8" ht="15" customHeight="1" s="48">
      <c r="A8" s="104" t="inlineStr">
        <is>
          <t>Inicio de trabajos:</t>
        </is>
      </c>
      <c r="B8" s="53" t="n">
        <v>46218</v>
      </c>
    </row>
    <row r="9" ht="15" customHeight="1" s="48">
      <c r="A9" s="104" t="inlineStr">
        <is>
          <t>Última actualización de bitácora:</t>
        </is>
      </c>
      <c r="B9" s="53" t="n">
        <v>46284</v>
      </c>
    </row>
    <row r="11" ht="15" customHeight="1" s="48">
      <c r="A11" s="104" t="inlineStr">
        <is>
          <t>Duración total del proyecto (días, contrato a hoy):</t>
        </is>
      </c>
      <c r="B11" s="52">
        <f>B9-B7+1</f>
        <v/>
      </c>
    </row>
    <row r="12" ht="15" customHeight="1" s="48">
      <c r="A12" s="104" t="inlineStr">
        <is>
          <t>Total de entradas registradas en bitácora:</t>
        </is>
      </c>
      <c r="B12" s="52">
        <f>COUNTA(Bitacora!A4:A200)</f>
        <v/>
      </c>
    </row>
    <row r="14" ht="15" customHeight="1" s="48">
      <c r="A14" s="54" t="inlineStr">
        <is>
          <t>Nota: algunos términos de la hoja Bitácora quedaron marcados como "término por confirmar" y se interpretaron según el contexto de la obra. Favor de confirmarlos.</t>
        </is>
      </c>
    </row>
    <row r="15" ht="15" customHeight="1" s="48"/>
    <row r="16" ht="15" customHeight="1" s="48"/>
  </sheetData>
  <mergeCells count="3">
    <mergeCell ref="A3:F3"/>
    <mergeCell ref="A1:F2"/>
    <mergeCell ref="A14:F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7" min="1" max="2"/>
    <col width="14" customWidth="1" style="47" min="3" max="3"/>
    <col width="50" customWidth="1" style="47" min="4" max="4"/>
    <col width="46" customWidth="1" style="47" min="5" max="5"/>
  </cols>
  <sheetData>
    <row r="1" ht="21.75" customHeight="1" s="48">
      <c r="A1" s="55" t="inlineStr">
        <is>
          <t>Bitácora diaria — 2405 Landershire Ln, Plano, TX 75023</t>
        </is>
      </c>
    </row>
    <row r="3" ht="18" customHeight="1" s="48">
      <c r="A3" s="56" t="inlineStr">
        <is>
          <t>Fecha</t>
        </is>
      </c>
      <c r="B3" s="56" t="inlineStr">
        <is>
          <t>Día</t>
        </is>
      </c>
      <c r="C3" s="56" t="inlineStr">
        <is>
          <t>Fase</t>
        </is>
      </c>
      <c r="D3" s="56" t="inlineStr">
        <is>
          <t>Actividad</t>
        </is>
      </c>
      <c r="E3" s="56" t="inlineStr">
        <is>
          <t>Notas</t>
        </is>
      </c>
    </row>
    <row r="4" ht="15" customHeight="1" s="48">
      <c r="A4" s="66" t="n">
        <v>46216</v>
      </c>
      <c r="B4" s="67" t="inlineStr">
        <is>
          <t>Lunes</t>
        </is>
      </c>
      <c r="C4" s="67" t="inlineStr">
        <is>
          <t>Contrato</t>
        </is>
      </c>
      <c r="D4" s="68" t="inlineStr">
        <is>
          <t>Firma de contrato de la inversión</t>
        </is>
      </c>
      <c r="E4" s="68" t="n"/>
    </row>
    <row r="5" ht="15" customHeight="1" s="48">
      <c r="A5" s="69" t="n">
        <v>46218</v>
      </c>
      <c r="B5" s="70" t="inlineStr">
        <is>
          <t>Miércoles</t>
        </is>
      </c>
      <c r="C5" s="70" t="inlineStr">
        <is>
          <t>Exterior</t>
        </is>
      </c>
      <c r="D5" s="71" t="inlineStr">
        <is>
          <t>Jardinería y limpieza de arbustos en el exterior</t>
        </is>
      </c>
      <c r="E5" s="71" t="n"/>
    </row>
    <row r="6" ht="15" customHeight="1" s="48">
      <c r="A6" s="66" t="n">
        <v>46219</v>
      </c>
      <c r="B6" s="67" t="inlineStr">
        <is>
          <t>Jueves</t>
        </is>
      </c>
      <c r="C6" s="67" t="inlineStr">
        <is>
          <t>Demolición</t>
        </is>
      </c>
      <c r="D6" s="68" t="inlineStr">
        <is>
          <t>Demolición interior: cocina, baños y pisos</t>
        </is>
      </c>
      <c r="E6" s="68" t="n"/>
    </row>
    <row r="7" ht="15" customHeight="1" s="48">
      <c r="A7" s="69" t="n">
        <v>46220</v>
      </c>
      <c r="B7" s="70" t="inlineStr">
        <is>
          <t>Viernes</t>
        </is>
      </c>
      <c r="C7" s="70" t="inlineStr">
        <is>
          <t>Demolición</t>
        </is>
      </c>
      <c r="D7" s="71" t="inlineStr">
        <is>
          <t>Demolición de pisos y paredes</t>
        </is>
      </c>
      <c r="E7" s="71" t="n"/>
    </row>
    <row r="8" ht="15" customHeight="1" s="48">
      <c r="A8" s="66" t="n">
        <v>46221</v>
      </c>
      <c r="B8" s="67" t="inlineStr">
        <is>
          <t>Sábado</t>
        </is>
      </c>
      <c r="C8" s="67" t="inlineStr">
        <is>
          <t>Eléctrico</t>
        </is>
      </c>
      <c r="D8" s="68" t="inlineStr">
        <is>
          <t>Modificación de ventanas y electricidad</t>
        </is>
      </c>
      <c r="E8" s="68" t="inlineStr">
        <is>
          <t>Interpretado como ventanas (término por confirmar)</t>
        </is>
      </c>
    </row>
    <row r="9" ht="15" customHeight="1" s="48">
      <c r="A9" s="69" t="n">
        <v>46222</v>
      </c>
      <c r="B9" s="70" t="inlineStr">
        <is>
          <t>Domingo</t>
        </is>
      </c>
      <c r="C9" s="70" t="inlineStr">
        <is>
          <t>Limpieza</t>
        </is>
      </c>
      <c r="D9" s="71" t="inlineStr">
        <is>
          <t>Retiro de basura y escombro</t>
        </is>
      </c>
      <c r="E9" s="71" t="inlineStr">
        <is>
          <t>Se trabajó aunque era domingo</t>
        </is>
      </c>
    </row>
    <row r="10" ht="15" customHeight="1" s="48">
      <c r="A10" s="66" t="n">
        <v>46223</v>
      </c>
      <c r="B10" s="67" t="inlineStr">
        <is>
          <t>Lunes</t>
        </is>
      </c>
      <c r="C10" s="67" t="inlineStr">
        <is>
          <t>Eléctrico</t>
        </is>
      </c>
      <c r="D10" s="68" t="inlineStr">
        <is>
          <t>Electricidad y detalles</t>
        </is>
      </c>
      <c r="E10" s="68" t="n"/>
    </row>
    <row r="11" ht="15" customHeight="1" s="48">
      <c r="A11" s="69" t="n">
        <v>46224</v>
      </c>
      <c r="B11" s="70" t="inlineStr">
        <is>
          <t>Martes</t>
        </is>
      </c>
      <c r="C11" s="70" t="inlineStr">
        <is>
          <t>Eléctrico</t>
        </is>
      </c>
      <c r="D11" s="71" t="inlineStr">
        <is>
          <t>Electricidad y detalles (continuación)</t>
        </is>
      </c>
      <c r="E11" s="71" t="n"/>
    </row>
    <row r="12" ht="15" customHeight="1" s="48">
      <c r="A12" s="66" t="n">
        <v>46225</v>
      </c>
      <c r="B12" s="67" t="inlineStr">
        <is>
          <t>Miércoles</t>
        </is>
      </c>
      <c r="C12" s="67" t="inlineStr">
        <is>
          <t>Eléctrico</t>
        </is>
      </c>
      <c r="D12" s="68" t="inlineStr">
        <is>
          <t>Detalles y trabajo de madera</t>
        </is>
      </c>
      <c r="E12" s="68" t="n"/>
    </row>
    <row r="13" ht="15" customHeight="1" s="48">
      <c r="A13" s="69" t="n">
        <v>46226</v>
      </c>
      <c r="B13" s="70" t="inlineStr">
        <is>
          <t>Jueves</t>
        </is>
      </c>
      <c r="C13" s="70" t="inlineStr">
        <is>
          <t>Eléctrico</t>
        </is>
      </c>
      <c r="D13" s="71" t="inlineStr">
        <is>
          <t>Electricidad y conexión a tierra (grounding)</t>
        </is>
      </c>
      <c r="E13" s="71" t="inlineStr">
        <is>
          <t>Término por confirmar</t>
        </is>
      </c>
    </row>
    <row r="14" ht="15" customHeight="1" s="48">
      <c r="A14" s="66" t="n">
        <v>46227</v>
      </c>
      <c r="B14" s="67" t="inlineStr">
        <is>
          <t>Viernes</t>
        </is>
      </c>
      <c r="C14" s="67" t="inlineStr">
        <is>
          <t>Fundación</t>
        </is>
      </c>
      <c r="D14" s="68" t="inlineStr">
        <is>
          <t>Fundación de la casa — día 1</t>
        </is>
      </c>
      <c r="E14" s="68" t="n"/>
    </row>
    <row r="15" ht="15" customHeight="1" s="48">
      <c r="A15" s="69" t="n">
        <v>46228</v>
      </c>
      <c r="B15" s="70" t="inlineStr">
        <is>
          <t>Sábado</t>
        </is>
      </c>
      <c r="C15" s="70" t="inlineStr">
        <is>
          <t>Fundación</t>
        </is>
      </c>
      <c r="D15" s="71" t="inlineStr">
        <is>
          <t>Fundación — día 2</t>
        </is>
      </c>
      <c r="E15" s="71" t="n"/>
    </row>
    <row r="16" ht="15" customHeight="1" s="48">
      <c r="A16" s="63" t="n">
        <v>46229</v>
      </c>
      <c r="B16" s="64" t="inlineStr">
        <is>
          <t>Domingo</t>
        </is>
      </c>
      <c r="C16" s="64" t="inlineStr">
        <is>
          <t>Descanso</t>
        </is>
      </c>
      <c r="D16" s="65" t="inlineStr">
        <is>
          <t>Descanso (domingo)</t>
        </is>
      </c>
      <c r="E16" s="65" t="n"/>
    </row>
    <row r="17" ht="15" customHeight="1" s="48">
      <c r="A17" s="69" t="n">
        <v>46230</v>
      </c>
      <c r="B17" s="70" t="inlineStr">
        <is>
          <t>Lunes</t>
        </is>
      </c>
      <c r="C17" s="70" t="inlineStr">
        <is>
          <t>Drywall</t>
        </is>
      </c>
      <c r="D17" s="71" t="inlineStr">
        <is>
          <t>Instalación de tablaroca (Sheetrock) y detalle de masa y cinta</t>
        </is>
      </c>
      <c r="E17" s="71" t="n"/>
    </row>
    <row r="18" ht="15" customHeight="1" s="48">
      <c r="A18" s="66" t="n">
        <v>46231</v>
      </c>
      <c r="B18" s="67" t="inlineStr">
        <is>
          <t>Martes</t>
        </is>
      </c>
      <c r="C18" s="67" t="inlineStr">
        <is>
          <t>Baños</t>
        </is>
      </c>
      <c r="D18" s="68" t="inlineStr">
        <is>
          <t>Preparación e inicio de trabajo en baños</t>
        </is>
      </c>
      <c r="E18" s="68" t="n"/>
    </row>
    <row r="19" ht="15" customHeight="1" s="48">
      <c r="A19" s="69" t="n">
        <v>46232</v>
      </c>
      <c r="B19" s="70" t="inlineStr">
        <is>
          <t>Miércoles</t>
        </is>
      </c>
      <c r="C19" s="70" t="inlineStr">
        <is>
          <t>Baños</t>
        </is>
      </c>
      <c r="D19" s="71" t="inlineStr">
        <is>
          <t>Instalación de cinta/tape en paredes y techos</t>
        </is>
      </c>
      <c r="E19" s="71" t="inlineStr">
        <is>
          <t>Término por confirmar</t>
        </is>
      </c>
    </row>
    <row r="20" ht="15" customHeight="1" s="48">
      <c r="A20" s="66" t="n">
        <v>46233</v>
      </c>
      <c r="B20" s="67" t="inlineStr">
        <is>
          <t>Jueves</t>
        </is>
      </c>
      <c r="C20" s="67" t="inlineStr">
        <is>
          <t>Plomería</t>
        </is>
      </c>
      <c r="D20" s="68" t="inlineStr">
        <is>
          <t>Plomería de la casa</t>
        </is>
      </c>
      <c r="E20" s="68" t="inlineStr">
        <is>
          <t>Se pagó $450 por la inspección de plomería</t>
        </is>
      </c>
    </row>
    <row r="21" ht="15" customHeight="1" s="48">
      <c r="A21" s="69" t="n">
        <v>46234</v>
      </c>
      <c r="B21" s="70" t="inlineStr">
        <is>
          <t>Viernes</t>
        </is>
      </c>
      <c r="C21" s="70" t="inlineStr">
        <is>
          <t>Plomería</t>
        </is>
      </c>
      <c r="D21" s="71" t="inlineStr">
        <is>
          <t>Plomería de drenaje y fundación</t>
        </is>
      </c>
      <c r="E21" s="71" t="n"/>
    </row>
    <row r="22" ht="15" customHeight="1" s="48">
      <c r="A22" s="66" t="n">
        <v>46235</v>
      </c>
      <c r="B22" s="67" t="inlineStr">
        <is>
          <t>Sábado</t>
        </is>
      </c>
      <c r="C22" s="67" t="inlineStr">
        <is>
          <t>Plomería</t>
        </is>
      </c>
      <c r="D22" s="68" t="inlineStr">
        <is>
          <t>Plomería y detalles</t>
        </is>
      </c>
      <c r="E22" s="68" t="n"/>
    </row>
    <row r="23" ht="15" customHeight="1" s="48">
      <c r="A23" s="63" t="n">
        <v>46236</v>
      </c>
      <c r="B23" s="64" t="inlineStr">
        <is>
          <t>Domingo</t>
        </is>
      </c>
      <c r="C23" s="64" t="inlineStr">
        <is>
          <t>Descanso</t>
        </is>
      </c>
      <c r="D23" s="65" t="inlineStr">
        <is>
          <t>Descanso (domingo)</t>
        </is>
      </c>
      <c r="E23" s="65" t="n"/>
    </row>
    <row r="24" ht="15" customHeight="1" s="48">
      <c r="A24" s="66" t="n">
        <v>46237</v>
      </c>
      <c r="B24" s="67" t="inlineStr">
        <is>
          <t>Lunes</t>
        </is>
      </c>
      <c r="C24" s="67" t="inlineStr">
        <is>
          <t>Plomería</t>
        </is>
      </c>
      <c r="D24" s="68" t="inlineStr">
        <is>
          <t>Plomería y detalles</t>
        </is>
      </c>
      <c r="E24" s="68" t="n"/>
    </row>
    <row r="25" ht="15" customHeight="1" s="48">
      <c r="A25" s="69" t="n">
        <v>46238</v>
      </c>
      <c r="B25" s="70" t="inlineStr">
        <is>
          <t>Martes</t>
        </is>
      </c>
      <c r="C25" s="70" t="inlineStr">
        <is>
          <t>Exterior</t>
        </is>
      </c>
      <c r="D25" s="71" t="inlineStr">
        <is>
          <t>Trabajo con herramientas y detalles de madera exterior</t>
        </is>
      </c>
      <c r="E25" s="71" t="inlineStr">
        <is>
          <t>Término por confirmar</t>
        </is>
      </c>
    </row>
    <row r="26" ht="23.85" customHeight="1" s="48">
      <c r="A26" s="66" t="n">
        <v>46239</v>
      </c>
      <c r="B26" s="67" t="inlineStr">
        <is>
          <t>Miércoles</t>
        </is>
      </c>
      <c r="C26" s="67" t="inlineStr">
        <is>
          <t>Fundación</t>
        </is>
      </c>
      <c r="D26" s="68" t="inlineStr">
        <is>
          <t>Túneles y fundación para plomería de la mitad de la casa; inicio de exterior y madera</t>
        </is>
      </c>
      <c r="E26" s="68" t="n"/>
    </row>
    <row r="27" ht="15" customHeight="1" s="48">
      <c r="A27" s="69" t="n">
        <v>46240</v>
      </c>
      <c r="B27" s="70" t="inlineStr">
        <is>
          <t>Jueves</t>
        </is>
      </c>
      <c r="C27" s="70" t="inlineStr">
        <is>
          <t>Exterior</t>
        </is>
      </c>
      <c r="D27" s="71" t="inlineStr">
        <is>
          <t>Trabajo exterior y detalles de masa</t>
        </is>
      </c>
      <c r="E27" s="71" t="n"/>
    </row>
    <row r="28" ht="15" customHeight="1" s="48">
      <c r="A28" s="66" t="n">
        <v>46241</v>
      </c>
      <c r="B28" s="67" t="inlineStr">
        <is>
          <t>Viernes</t>
        </is>
      </c>
      <c r="C28" s="67" t="inlineStr">
        <is>
          <t>Exterior</t>
        </is>
      </c>
      <c r="D28" s="68" t="inlineStr">
        <is>
          <t>Trabajo exterior y detalles de masa (continuación)</t>
        </is>
      </c>
      <c r="E28" s="68" t="n"/>
    </row>
    <row r="29" ht="15" customHeight="1" s="48">
      <c r="A29" s="69" t="n">
        <v>46242</v>
      </c>
      <c r="B29" s="70" t="inlineStr">
        <is>
          <t>Sábado</t>
        </is>
      </c>
      <c r="C29" s="70" t="inlineStr">
        <is>
          <t>Carpintería</t>
        </is>
      </c>
      <c r="D29" s="71" t="inlineStr">
        <is>
          <t>Carpintería (trabajo corrido)</t>
        </is>
      </c>
      <c r="E29" s="71" t="n"/>
    </row>
    <row r="30" ht="15" customHeight="1" s="48">
      <c r="A30" s="63" t="n">
        <v>46243</v>
      </c>
      <c r="B30" s="64" t="inlineStr">
        <is>
          <t>Domingo</t>
        </is>
      </c>
      <c r="C30" s="64" t="inlineStr">
        <is>
          <t>Descanso</t>
        </is>
      </c>
      <c r="D30" s="65" t="inlineStr">
        <is>
          <t>Descanso — no se trabajó</t>
        </is>
      </c>
      <c r="E30" s="65" t="n"/>
    </row>
    <row r="31" ht="15" customHeight="1" s="48">
      <c r="A31" s="69" t="n">
        <v>46244</v>
      </c>
      <c r="B31" s="70" t="inlineStr">
        <is>
          <t>Lunes</t>
        </is>
      </c>
      <c r="C31" s="70" t="inlineStr">
        <is>
          <t>Exterior</t>
        </is>
      </c>
      <c r="D31" s="71" t="inlineStr">
        <is>
          <t>Exterior, masa interior y reparaciones para pintura</t>
        </is>
      </c>
      <c r="E31" s="71" t="n"/>
    </row>
    <row r="32" ht="15" customHeight="1" s="48">
      <c r="A32" s="66" t="n">
        <v>46245</v>
      </c>
      <c r="B32" s="67" t="inlineStr">
        <is>
          <t>Martes</t>
        </is>
      </c>
      <c r="C32" s="67" t="inlineStr">
        <is>
          <t>Pintura</t>
        </is>
      </c>
      <c r="D32" s="68" t="inlineStr">
        <is>
          <t>Detalles de pintura</t>
        </is>
      </c>
      <c r="E32" s="68" t="n"/>
    </row>
    <row r="33" ht="15" customHeight="1" s="48">
      <c r="A33" s="69" t="n">
        <v>46246</v>
      </c>
      <c r="B33" s="70" t="inlineStr">
        <is>
          <t>Miércoles</t>
        </is>
      </c>
      <c r="C33" s="70" t="inlineStr">
        <is>
          <t>Pintura</t>
        </is>
      </c>
      <c r="D33" s="71" t="inlineStr">
        <is>
          <t>Pintura; inicio de primer (primera capa) de acabados</t>
        </is>
      </c>
      <c r="E33" s="71" t="n"/>
    </row>
    <row r="34" ht="15" customHeight="1" s="48">
      <c r="A34" s="66" t="n">
        <v>46247</v>
      </c>
      <c r="B34" s="67" t="inlineStr">
        <is>
          <t>Jueves</t>
        </is>
      </c>
      <c r="C34" s="67" t="inlineStr">
        <is>
          <t>Pintura</t>
        </is>
      </c>
      <c r="D34" s="68" t="inlineStr">
        <is>
          <t>Reparaciones y pintura</t>
        </is>
      </c>
      <c r="E34" s="68" t="n"/>
    </row>
    <row r="35" ht="15" customHeight="1" s="48">
      <c r="A35" s="69" t="n">
        <v>46248</v>
      </c>
      <c r="B35" s="70" t="inlineStr">
        <is>
          <t>Viernes</t>
        </is>
      </c>
      <c r="C35" s="70" t="inlineStr">
        <is>
          <t>Pintura</t>
        </is>
      </c>
      <c r="D35" s="71" t="inlineStr">
        <is>
          <t>Detalles de primer en el exterior</t>
        </is>
      </c>
      <c r="E35" s="71" t="n"/>
    </row>
    <row r="36" ht="15" customHeight="1" s="48">
      <c r="A36" s="66" t="n">
        <v>46249</v>
      </c>
      <c r="B36" s="67" t="inlineStr">
        <is>
          <t>Sábado</t>
        </is>
      </c>
      <c r="C36" s="67" t="inlineStr">
        <is>
          <t>Pintura</t>
        </is>
      </c>
      <c r="D36" s="68" t="inlineStr">
        <is>
          <t>Pintura del exterior</t>
        </is>
      </c>
      <c r="E36" s="68" t="n"/>
    </row>
    <row r="37" ht="15" customHeight="1" s="48">
      <c r="A37" s="63" t="n">
        <v>46250</v>
      </c>
      <c r="B37" s="64" t="inlineStr">
        <is>
          <t>Domingo</t>
        </is>
      </c>
      <c r="C37" s="64" t="inlineStr">
        <is>
          <t>Descanso</t>
        </is>
      </c>
      <c r="D37" s="65" t="inlineStr">
        <is>
          <t>Descanso (domingo) — no se trabajó</t>
        </is>
      </c>
      <c r="E37" s="65" t="n"/>
    </row>
    <row r="38" ht="15" customHeight="1" s="48">
      <c r="A38" s="66" t="n">
        <v>46251</v>
      </c>
      <c r="B38" s="67" t="inlineStr">
        <is>
          <t>Lunes</t>
        </is>
      </c>
      <c r="C38" s="67" t="inlineStr">
        <is>
          <t>Pintura</t>
        </is>
      </c>
      <c r="D38" s="68" t="inlineStr">
        <is>
          <t>Pintura y detalles del exterior (terminada)</t>
        </is>
      </c>
      <c r="E38" s="68" t="n"/>
    </row>
    <row r="39" ht="15" customHeight="1" s="48">
      <c r="A39" s="69" t="n">
        <v>46252</v>
      </c>
      <c r="B39" s="70" t="inlineStr">
        <is>
          <t>Martes</t>
        </is>
      </c>
      <c r="C39" s="70" t="inlineStr">
        <is>
          <t>Marketing</t>
        </is>
      </c>
      <c r="D39" s="71" t="inlineStr">
        <is>
          <t>Búsqueda de materiales; primer día de fotos con la realtor</t>
        </is>
      </c>
      <c r="E39" s="71" t="n"/>
    </row>
    <row r="40" ht="15" customHeight="1" s="48">
      <c r="A40" s="66" t="n">
        <v>46253</v>
      </c>
      <c r="B40" s="67" t="inlineStr">
        <is>
          <t>Miércoles</t>
        </is>
      </c>
      <c r="C40" s="67" t="inlineStr">
        <is>
          <t>Drywall</t>
        </is>
      </c>
      <c r="D40" s="68" t="inlineStr">
        <is>
          <t>Retoques de masa interior</t>
        </is>
      </c>
      <c r="E40" s="68" t="n"/>
    </row>
    <row r="41" ht="15" customHeight="1" s="48">
      <c r="A41" s="69" t="n">
        <v>46254</v>
      </c>
      <c r="B41" s="70" t="inlineStr">
        <is>
          <t>Jueves</t>
        </is>
      </c>
      <c r="C41" s="70" t="inlineStr">
        <is>
          <t>General</t>
        </is>
      </c>
      <c r="D41" s="71" t="inlineStr">
        <is>
          <t>Trabajo en solitario</t>
        </is>
      </c>
      <c r="E41" s="71" t="n"/>
    </row>
    <row r="42" ht="15" customHeight="1" s="48">
      <c r="A42" s="66" t="n">
        <v>46255</v>
      </c>
      <c r="B42" s="67" t="inlineStr">
        <is>
          <t>Viernes</t>
        </is>
      </c>
      <c r="C42" s="67" t="inlineStr">
        <is>
          <t>Gabinetes</t>
        </is>
      </c>
      <c r="D42" s="68" t="inlineStr">
        <is>
          <t>Primera capa (primer) de pintura en gabinetes</t>
        </is>
      </c>
      <c r="E42" s="68" t="n"/>
    </row>
    <row r="43" ht="23.85" customHeight="1" s="48">
      <c r="A43" s="69" t="n">
        <v>46256</v>
      </c>
      <c r="B43" s="70" t="inlineStr">
        <is>
          <t>Sábado</t>
        </is>
      </c>
      <c r="C43" s="70" t="inlineStr">
        <is>
          <t>Gabinetes</t>
        </is>
      </c>
      <c r="D43" s="71" t="inlineStr">
        <is>
          <t>Pintura de gabinetes; instalación de repisas/closet y acabados</t>
        </is>
      </c>
      <c r="E43" s="71" t="inlineStr">
        <is>
          <t>Término por confirmar</t>
        </is>
      </c>
    </row>
    <row r="44" ht="15" customHeight="1" s="48">
      <c r="A44" s="63" t="n">
        <v>46257</v>
      </c>
      <c r="B44" s="64" t="inlineStr">
        <is>
          <t>Domingo</t>
        </is>
      </c>
      <c r="C44" s="64" t="inlineStr">
        <is>
          <t>Descanso</t>
        </is>
      </c>
      <c r="D44" s="65" t="inlineStr">
        <is>
          <t>Descanso (domingo)</t>
        </is>
      </c>
      <c r="E44" s="65" t="inlineStr">
        <is>
          <t>Corregido: antes se tenía como día de trabajo</t>
        </is>
      </c>
    </row>
    <row r="45" ht="15" customHeight="1" s="48">
      <c r="A45" s="69" t="n">
        <v>46258</v>
      </c>
      <c r="B45" s="70" t="inlineStr">
        <is>
          <t>Lunes</t>
        </is>
      </c>
      <c r="C45" s="70" t="inlineStr">
        <is>
          <t>Gabinetes</t>
        </is>
      </c>
      <c r="D45" s="71" t="inlineStr">
        <is>
          <t>Gabinetes y detalles</t>
        </is>
      </c>
      <c r="E45" s="71" t="n"/>
    </row>
    <row r="46" ht="15" customHeight="1" s="48">
      <c r="A46" s="66" t="n">
        <v>46259</v>
      </c>
      <c r="B46" s="67" t="inlineStr">
        <is>
          <t>Martes</t>
        </is>
      </c>
      <c r="C46" s="67" t="inlineStr">
        <is>
          <t>Azulejo</t>
        </is>
      </c>
      <c r="D46" s="68" t="inlineStr">
        <is>
          <t>Detalles de pintura y lechada (grout) en instalación de azulejo</t>
        </is>
      </c>
      <c r="E46" s="68" t="inlineStr">
        <is>
          <t>Término por confirmar</t>
        </is>
      </c>
    </row>
    <row r="47" ht="15" customHeight="1" s="48">
      <c r="A47" s="69" t="n">
        <v>46260</v>
      </c>
      <c r="B47" s="70" t="inlineStr">
        <is>
          <t>Miércoles</t>
        </is>
      </c>
      <c r="C47" s="70" t="inlineStr">
        <is>
          <t>Techo</t>
        </is>
      </c>
      <c r="D47" s="71" t="inlineStr">
        <is>
          <t>Reparaciones y terminaciones</t>
        </is>
      </c>
      <c r="E47" s="71" t="n"/>
    </row>
    <row r="48" ht="15" customHeight="1" s="48">
      <c r="A48" s="66" t="n">
        <v>46261</v>
      </c>
      <c r="B48" s="67" t="inlineStr">
        <is>
          <t>Jueves</t>
        </is>
      </c>
      <c r="C48" s="67" t="inlineStr">
        <is>
          <t>Piso</t>
        </is>
      </c>
      <c r="D48" s="68" t="inlineStr">
        <is>
          <t>Instalación de piso laminado</t>
        </is>
      </c>
      <c r="E48" s="68" t="n"/>
    </row>
    <row r="49" ht="15" customHeight="1" s="48">
      <c r="A49" s="69" t="n">
        <v>46262</v>
      </c>
      <c r="B49" s="70" t="inlineStr">
        <is>
          <t>Viernes</t>
        </is>
      </c>
      <c r="C49" s="70" t="inlineStr">
        <is>
          <t>Piso</t>
        </is>
      </c>
      <c r="D49" s="71" t="inlineStr">
        <is>
          <t>Instalación de piso laminado (día 2)</t>
        </is>
      </c>
      <c r="E49" s="71" t="n"/>
    </row>
    <row r="50" ht="23.85" customHeight="1" s="48">
      <c r="A50" s="66" t="n">
        <v>46263</v>
      </c>
      <c r="B50" s="67" t="inlineStr">
        <is>
          <t>Sábado</t>
        </is>
      </c>
      <c r="C50" s="67" t="inlineStr">
        <is>
          <t>Piso</t>
        </is>
      </c>
      <c r="D50" s="68" t="inlineStr">
        <is>
          <t>Piso laminado; inicio de instalación de cuarzo (meseta) en baños y cocina</t>
        </is>
      </c>
      <c r="E50" s="68" t="n"/>
    </row>
    <row r="51" ht="15" customHeight="1" s="48">
      <c r="A51" s="63" t="n">
        <v>46264</v>
      </c>
      <c r="B51" s="64" t="inlineStr">
        <is>
          <t>Domingo</t>
        </is>
      </c>
      <c r="C51" s="64" t="inlineStr">
        <is>
          <t>Descanso</t>
        </is>
      </c>
      <c r="D51" s="65" t="inlineStr">
        <is>
          <t>Descanso (domingo)</t>
        </is>
      </c>
      <c r="E51" s="65" t="n"/>
    </row>
    <row r="52" ht="15" customHeight="1" s="48">
      <c r="A52" s="66" t="n">
        <v>46265</v>
      </c>
      <c r="B52" s="67" t="inlineStr">
        <is>
          <t>Lunes</t>
        </is>
      </c>
      <c r="C52" s="67" t="inlineStr">
        <is>
          <t>Molduras</t>
        </is>
      </c>
      <c r="D52" s="68" t="inlineStr">
        <is>
          <t>Instalación de trim y molduras</t>
        </is>
      </c>
      <c r="E52" s="68" t="n"/>
    </row>
    <row r="53" ht="23.85" customHeight="1" s="48">
      <c r="A53" s="69" t="n">
        <v>46266</v>
      </c>
      <c r="B53" s="70" t="inlineStr">
        <is>
          <t>Martes</t>
        </is>
      </c>
      <c r="C53" s="70" t="inlineStr">
        <is>
          <t>Molduras</t>
        </is>
      </c>
      <c r="D53" s="71" t="inlineStr">
        <is>
          <t>Instalación de trim; adaptación del water heater (se subió de altura)</t>
        </is>
      </c>
      <c r="E53" s="71" t="n"/>
    </row>
    <row r="54" ht="15" customHeight="1" s="48">
      <c r="A54" s="66" t="n">
        <v>46267</v>
      </c>
      <c r="B54" s="67" t="inlineStr">
        <is>
          <t>Miércoles</t>
        </is>
      </c>
      <c r="C54" s="67" t="inlineStr">
        <is>
          <t>Cocina</t>
        </is>
      </c>
      <c r="D54" s="68" t="inlineStr">
        <is>
          <t>Inicio de backsplash de cocina</t>
        </is>
      </c>
      <c r="E54" s="68" t="n"/>
    </row>
    <row r="55" ht="15" customHeight="1" s="48">
      <c r="A55" s="69" t="n">
        <v>46268</v>
      </c>
      <c r="B55" s="70" t="inlineStr">
        <is>
          <t>Jueves</t>
        </is>
      </c>
      <c r="C55" s="70" t="inlineStr">
        <is>
          <t>Cocina</t>
        </is>
      </c>
      <c r="D55" s="71" t="inlineStr">
        <is>
          <t>Terminación de backsplash de cocina</t>
        </is>
      </c>
      <c r="E55" s="71" t="n"/>
    </row>
    <row r="56" ht="15" customHeight="1" s="48">
      <c r="A56" s="66" t="n">
        <v>46269</v>
      </c>
      <c r="B56" s="67" t="inlineStr">
        <is>
          <t>Viernes</t>
        </is>
      </c>
      <c r="C56" s="67" t="inlineStr">
        <is>
          <t>Jardín</t>
        </is>
      </c>
      <c r="D56" s="68" t="inlineStr">
        <is>
          <t>Detalles; inicio de preparación y trabajo de jardinería exterior</t>
        </is>
      </c>
      <c r="E56" s="68" t="n"/>
    </row>
    <row r="57" ht="15" customHeight="1" s="48">
      <c r="A57" s="69" t="n">
        <v>46270</v>
      </c>
      <c r="B57" s="70" t="inlineStr">
        <is>
          <t>Sábado</t>
        </is>
      </c>
      <c r="C57" s="70" t="inlineStr">
        <is>
          <t>Garaje</t>
        </is>
      </c>
      <c r="D57" s="71" t="inlineStr">
        <is>
          <t>Inicio de reparaciones en el garaje</t>
        </is>
      </c>
      <c r="E57" s="71" t="n"/>
    </row>
    <row r="58" ht="15" customHeight="1" s="48">
      <c r="A58" s="63" t="n">
        <v>46271</v>
      </c>
      <c r="B58" s="64" t="inlineStr">
        <is>
          <t>Domingo</t>
        </is>
      </c>
      <c r="C58" s="64" t="inlineStr">
        <is>
          <t>Descanso</t>
        </is>
      </c>
      <c r="D58" s="65" t="inlineStr">
        <is>
          <t>Descanso (domingo)</t>
        </is>
      </c>
      <c r="E58" s="65" t="n"/>
    </row>
    <row r="59" ht="15" customHeight="1" s="48">
      <c r="A59" s="69" t="n">
        <v>46272</v>
      </c>
      <c r="B59" s="70" t="inlineStr">
        <is>
          <t>Lunes</t>
        </is>
      </c>
      <c r="C59" s="70" t="inlineStr">
        <is>
          <t>Acabados</t>
        </is>
      </c>
      <c r="D59" s="71" t="inlineStr">
        <is>
          <t>Feriado (Labor Day); trabajo de detalles</t>
        </is>
      </c>
      <c r="E59" s="71" t="n"/>
    </row>
    <row r="60" ht="15" customHeight="1" s="48">
      <c r="A60" s="66" t="n">
        <v>46273</v>
      </c>
      <c r="B60" s="67" t="inlineStr">
        <is>
          <t>Martes</t>
        </is>
      </c>
      <c r="C60" s="67" t="inlineStr">
        <is>
          <t>Garaje</t>
        </is>
      </c>
      <c r="D60" s="68" t="inlineStr">
        <is>
          <t>Segundo día de trabajo en garaje y jardinería exterior</t>
        </is>
      </c>
      <c r="E60" s="68" t="n"/>
    </row>
    <row r="61" ht="15" customHeight="1" s="48">
      <c r="A61" s="69" t="n">
        <v>46274</v>
      </c>
      <c r="B61" s="70" t="inlineStr">
        <is>
          <t>Miércoles</t>
        </is>
      </c>
      <c r="C61" s="70" t="inlineStr">
        <is>
          <t>Jardín</t>
        </is>
      </c>
      <c r="D61" s="71" t="inlineStr">
        <is>
          <t>Renta de equipo/maquinaria para remover tierra</t>
        </is>
      </c>
      <c r="E61" s="71" t="n"/>
    </row>
    <row r="62" ht="15" customHeight="1" s="48">
      <c r="A62" s="66" t="n">
        <v>46275</v>
      </c>
      <c r="B62" s="67" t="inlineStr">
        <is>
          <t>Jueves</t>
        </is>
      </c>
      <c r="C62" s="67" t="inlineStr">
        <is>
          <t>Pagos</t>
        </is>
      </c>
      <c r="D62" s="68" t="inlineStr">
        <is>
          <t>Detalles finales; pago a trabajadores</t>
        </is>
      </c>
      <c r="E62" s="68" t="n"/>
    </row>
    <row r="63" ht="23.85" customHeight="1" s="48">
      <c r="A63" s="69" t="n">
        <v>46276</v>
      </c>
      <c r="B63" s="70" t="inlineStr">
        <is>
          <t>Viernes</t>
        </is>
      </c>
      <c r="C63" s="70" t="inlineStr">
        <is>
          <t>Acabados</t>
        </is>
      </c>
      <c r="D63" s="71" t="inlineStr">
        <is>
          <t>A partir de este día, equipo reducido hasta terminar; pagos finales a trabajadores</t>
        </is>
      </c>
      <c r="E63" s="71" t="n"/>
    </row>
    <row r="64" ht="15" customHeight="1" s="48">
      <c r="A64" s="66" t="n">
        <v>46277</v>
      </c>
      <c r="B64" s="67" t="inlineStr">
        <is>
          <t>Sábado</t>
        </is>
      </c>
      <c r="C64" s="67" t="inlineStr">
        <is>
          <t>Epoxi</t>
        </is>
      </c>
      <c r="D64" s="68" t="inlineStr">
        <is>
          <t>Instalación de piso epoxi en el garaje</t>
        </is>
      </c>
      <c r="E64" s="68" t="n"/>
    </row>
    <row r="65" ht="15" customHeight="1" s="48">
      <c r="A65" s="63" t="n">
        <v>46278</v>
      </c>
      <c r="B65" s="64" t="inlineStr">
        <is>
          <t>Domingo</t>
        </is>
      </c>
      <c r="C65" s="64" t="inlineStr">
        <is>
          <t>Descanso</t>
        </is>
      </c>
      <c r="D65" s="65" t="inlineStr">
        <is>
          <t>Descanso (domingo)</t>
        </is>
      </c>
      <c r="E65" s="65" t="n"/>
    </row>
    <row r="66" ht="15" customHeight="1" s="48">
      <c r="A66" s="66" t="n">
        <v>46279</v>
      </c>
      <c r="B66" s="67" t="inlineStr">
        <is>
          <t>Lunes</t>
        </is>
      </c>
      <c r="C66" s="67" t="inlineStr">
        <is>
          <t>Acabados</t>
        </is>
      </c>
      <c r="D66" s="68" t="inlineStr">
        <is>
          <t>Detalles y terminaciones de interior y exterior</t>
        </is>
      </c>
      <c r="E66" s="68" t="n"/>
    </row>
    <row r="67" ht="15" customHeight="1" s="48">
      <c r="A67" s="69" t="n">
        <v>46280</v>
      </c>
      <c r="B67" s="70" t="inlineStr">
        <is>
          <t>Martes</t>
        </is>
      </c>
      <c r="C67" s="70" t="inlineStr">
        <is>
          <t>Exterior</t>
        </is>
      </c>
      <c r="D67" s="71" t="inlineStr">
        <is>
          <t>Pintura de stain en la cerca; acabados de interior; jardinería</t>
        </is>
      </c>
      <c r="E67" s="71" t="n"/>
    </row>
    <row r="68" ht="23.85" customHeight="1" s="48">
      <c r="A68" s="66" t="n">
        <v>46281</v>
      </c>
      <c r="B68" s="67" t="inlineStr">
        <is>
          <t>Miércoles</t>
        </is>
      </c>
      <c r="C68" s="67" t="inlineStr">
        <is>
          <t>Limpieza</t>
        </is>
      </c>
      <c r="D68" s="68" t="inlineStr">
        <is>
          <t>Terminación de acabados; inicio de limpieza interior de la propiedad</t>
        </is>
      </c>
      <c r="E68" s="68" t="n"/>
    </row>
    <row r="69" ht="35.05" customHeight="1" s="48">
      <c r="A69" s="69" t="n">
        <v>46282</v>
      </c>
      <c r="B69" s="70" t="inlineStr">
        <is>
          <t>Jueves</t>
        </is>
      </c>
      <c r="C69" s="70" t="inlineStr">
        <is>
          <t>Acabados</t>
        </is>
      </c>
      <c r="D69" s="71" t="inlineStr">
        <is>
          <t>Últimos detalles; instalación de nuevo buzón; nuevo pasillo exterior de entrada; inicio del staging (amueblado) de la casa por parte de la realtor</t>
        </is>
      </c>
      <c r="E69" s="71" t="n"/>
    </row>
    <row r="70" ht="35.05" customHeight="1" s="48">
      <c r="A70" s="66" t="n">
        <v>46283</v>
      </c>
      <c r="B70" s="67" t="inlineStr">
        <is>
          <t>Viernes</t>
        </is>
      </c>
      <c r="C70" s="67" t="inlineStr">
        <is>
          <t>Acabados</t>
        </is>
      </c>
      <c r="D70" s="68" t="inlineStr">
        <is>
          <t>Últimas terminaciones: recolección/limpieza, pintura de resurf en la tina, reparación de concreto exterior y últimos acabados del buzón</t>
        </is>
      </c>
      <c r="E70" s="68" t="n"/>
    </row>
    <row r="71" ht="23.85" customHeight="1" s="48">
      <c r="A71" s="69" t="n">
        <v>46284</v>
      </c>
      <c r="B71" s="70" t="inlineStr">
        <is>
          <t>Sábado</t>
        </is>
      </c>
      <c r="C71" s="70" t="inlineStr">
        <is>
          <t>Venta</t>
        </is>
      </c>
      <c r="D71" s="71" t="inlineStr">
        <is>
          <t>Primer día de open house (casa abierta al público); compra de espejos para los baños</t>
        </is>
      </c>
      <c r="E71" s="71" t="n"/>
    </row>
    <row r="72" ht="35.05" customHeight="1" s="48">
      <c r="A72" s="66" t="n">
        <v>46320</v>
      </c>
      <c r="B72" s="67" t="inlineStr">
        <is>
          <t>Domingo</t>
        </is>
      </c>
      <c r="C72" s="67" t="inlineStr">
        <is>
          <t>Pagos</t>
        </is>
      </c>
      <c r="D72" s="68" t="inlineStr">
        <is>
          <t>Pago extra de la casa por $3,450</t>
        </is>
      </c>
      <c r="E72" s="68" t="inlineStr">
        <is>
          <t>Monto registrado también en la hoja Financiamiento</t>
        </is>
      </c>
    </row>
    <row r="73" ht="35.05" customHeight="1" s="48">
      <c r="A73" s="69" t="n">
        <v>46320</v>
      </c>
      <c r="B73" s="70" t="inlineStr">
        <is>
          <t>Domingo</t>
        </is>
      </c>
      <c r="C73" s="70" t="inlineStr">
        <is>
          <t>Pagos</t>
        </is>
      </c>
      <c r="D73" s="71" t="inlineStr">
        <is>
          <t>Pagos pendientes: gas, instalación, agua, luz y $800 destinados al pago de la inspección de plomería</t>
        </is>
      </c>
      <c r="E73" s="71" t="inlineStr">
        <is>
          <t>Montos de gas, instalación, agua y luz por definir (ver hoja Financiamiento)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7" min="1" max="1"/>
    <col width="14" customWidth="1" style="47" min="2" max="3"/>
    <col width="16" customWidth="1" style="47" min="4" max="4"/>
  </cols>
  <sheetData>
    <row r="1" ht="16.15" customHeight="1" s="48">
      <c r="A1" s="55" t="inlineStr">
        <is>
          <t>Resumen por fase de construcción</t>
        </is>
      </c>
    </row>
    <row r="3" ht="15" customHeight="1" s="48">
      <c r="A3" s="97" t="inlineStr">
        <is>
          <t>Fase</t>
        </is>
      </c>
      <c r="B3" s="97" t="inlineStr">
        <is>
          <t>Fecha inicio</t>
        </is>
      </c>
      <c r="C3" s="97" t="inlineStr">
        <is>
          <t>Fecha fin</t>
        </is>
      </c>
      <c r="D3" s="97" t="inlineStr">
        <is>
          <t>Duración (días)</t>
        </is>
      </c>
    </row>
    <row r="4" ht="15" customHeight="1" s="48">
      <c r="A4" s="103" t="inlineStr">
        <is>
          <t>Preparación exterior (jardinería)</t>
        </is>
      </c>
      <c r="B4" s="74" t="n">
        <v>46218</v>
      </c>
      <c r="C4" s="74" t="n">
        <v>46218</v>
      </c>
      <c r="D4" s="75">
        <f>C4-B4+1</f>
        <v/>
      </c>
    </row>
    <row r="5" ht="15" customHeight="1" s="48">
      <c r="A5" s="100" t="inlineStr">
        <is>
          <t>Demolición</t>
        </is>
      </c>
      <c r="B5" s="77" t="n">
        <v>46219</v>
      </c>
      <c r="C5" s="77" t="n">
        <v>46220</v>
      </c>
      <c r="D5" s="78">
        <f>C5-B5+1</f>
        <v/>
      </c>
    </row>
    <row r="6" ht="15" customHeight="1" s="48">
      <c r="A6" s="103" t="inlineStr">
        <is>
          <t>Eléctrico y limpieza</t>
        </is>
      </c>
      <c r="B6" s="74" t="n">
        <v>46221</v>
      </c>
      <c r="C6" s="74" t="n">
        <v>46226</v>
      </c>
      <c r="D6" s="75">
        <f>C6-B6+1</f>
        <v/>
      </c>
    </row>
    <row r="7" ht="15" customHeight="1" s="48">
      <c r="A7" s="100" t="inlineStr">
        <is>
          <t>Fundación (etapa 1)</t>
        </is>
      </c>
      <c r="B7" s="77" t="n">
        <v>46227</v>
      </c>
      <c r="C7" s="77" t="n">
        <v>46228</v>
      </c>
      <c r="D7" s="78">
        <f>C7-B7+1</f>
        <v/>
      </c>
    </row>
    <row r="8" ht="15" customHeight="1" s="48">
      <c r="A8" s="103" t="inlineStr">
        <is>
          <t>Drywall y baños</t>
        </is>
      </c>
      <c r="B8" s="74" t="n">
        <v>46230</v>
      </c>
      <c r="C8" s="74" t="n">
        <v>46232</v>
      </c>
      <c r="D8" s="75">
        <f>C8-B8+1</f>
        <v/>
      </c>
    </row>
    <row r="9" ht="15" customHeight="1" s="48">
      <c r="A9" s="100" t="inlineStr">
        <is>
          <t>Plomería</t>
        </is>
      </c>
      <c r="B9" s="77" t="n">
        <v>46233</v>
      </c>
      <c r="C9" s="77" t="n">
        <v>46237</v>
      </c>
      <c r="D9" s="78">
        <f>C9-B9+1</f>
        <v/>
      </c>
    </row>
    <row r="10" ht="15" customHeight="1" s="48">
      <c r="A10" s="103" t="inlineStr">
        <is>
          <t>Fundación del túnel y exterior</t>
        </is>
      </c>
      <c r="B10" s="74" t="n">
        <v>46238</v>
      </c>
      <c r="C10" s="74" t="n">
        <v>46243</v>
      </c>
      <c r="D10" s="75">
        <f>C10-B10+1</f>
        <v/>
      </c>
    </row>
    <row r="11" ht="15" customHeight="1" s="48">
      <c r="A11" s="100" t="inlineStr">
        <is>
          <t>Pintura exterior</t>
        </is>
      </c>
      <c r="B11" s="77" t="n">
        <v>46244</v>
      </c>
      <c r="C11" s="77" t="n">
        <v>46251</v>
      </c>
      <c r="D11" s="78">
        <f>C11-B11+1</f>
        <v/>
      </c>
    </row>
    <row r="12" ht="15" customHeight="1" s="48">
      <c r="A12" s="103" t="inlineStr">
        <is>
          <t>Materiales y mercadeo</t>
        </is>
      </c>
      <c r="B12" s="74" t="n">
        <v>46252</v>
      </c>
      <c r="C12" s="74" t="n">
        <v>46252</v>
      </c>
      <c r="D12" s="75">
        <f>C12-B12+1</f>
        <v/>
      </c>
    </row>
    <row r="13" ht="15" customHeight="1" s="48">
      <c r="A13" s="100" t="inlineStr">
        <is>
          <t>Retoques y gabinetes</t>
        </is>
      </c>
      <c r="B13" s="77" t="n">
        <v>46253</v>
      </c>
      <c r="C13" s="77" t="n">
        <v>46258</v>
      </c>
      <c r="D13" s="78">
        <f>C13-B13+1</f>
        <v/>
      </c>
    </row>
    <row r="14" ht="15" customHeight="1" s="48">
      <c r="A14" s="103" t="inlineStr">
        <is>
          <t>Azulejo y techo</t>
        </is>
      </c>
      <c r="B14" s="74" t="n">
        <v>46259</v>
      </c>
      <c r="C14" s="74" t="n">
        <v>46260</v>
      </c>
      <c r="D14" s="75">
        <f>C14-B14+1</f>
        <v/>
      </c>
    </row>
    <row r="15" ht="15" customHeight="1" s="48">
      <c r="A15" s="100" t="inlineStr">
        <is>
          <t>Piso laminado y cuarzo (meseta)</t>
        </is>
      </c>
      <c r="B15" s="77" t="n">
        <v>46261</v>
      </c>
      <c r="C15" s="77" t="n">
        <v>46263</v>
      </c>
      <c r="D15" s="78">
        <f>C15-B15+1</f>
        <v/>
      </c>
    </row>
    <row r="16" ht="15" customHeight="1" s="48">
      <c r="A16" s="103" t="inlineStr">
        <is>
          <t>Molduras, water heater y cocina</t>
        </is>
      </c>
      <c r="B16" s="74" t="n">
        <v>46265</v>
      </c>
      <c r="C16" s="74" t="n">
        <v>46268</v>
      </c>
      <c r="D16" s="75">
        <f>C16-B16+1</f>
        <v/>
      </c>
    </row>
    <row r="17" ht="15" customHeight="1" s="48">
      <c r="A17" s="100" t="inlineStr">
        <is>
          <t>Jardín y garaje</t>
        </is>
      </c>
      <c r="B17" s="77" t="n">
        <v>46269</v>
      </c>
      <c r="C17" s="77" t="n">
        <v>46274</v>
      </c>
      <c r="D17" s="78">
        <f>C17-B17+1</f>
        <v/>
      </c>
    </row>
    <row r="18" ht="15" customHeight="1" s="48">
      <c r="A18" s="103" t="inlineStr">
        <is>
          <t>Pagos y acabados finales / epoxi</t>
        </is>
      </c>
      <c r="B18" s="74" t="n">
        <v>46275</v>
      </c>
      <c r="C18" s="74" t="n">
        <v>46278</v>
      </c>
      <c r="D18" s="75">
        <f>C18-B18+1</f>
        <v/>
      </c>
    </row>
    <row r="19" ht="15" customHeight="1" s="48">
      <c r="A19" s="100" t="inlineStr">
        <is>
          <t>Detalles finales y staging</t>
        </is>
      </c>
      <c r="B19" s="77" t="n">
        <v>46279</v>
      </c>
      <c r="C19" s="77" t="n">
        <v>46283</v>
      </c>
      <c r="D19" s="78">
        <f>C19-B19+1</f>
        <v/>
      </c>
    </row>
    <row r="20" ht="15" customHeight="1" s="48">
      <c r="A20" s="103" t="inlineStr">
        <is>
          <t>Open house / venta</t>
        </is>
      </c>
      <c r="B20" s="74" t="n">
        <v>46284</v>
      </c>
      <c r="C20" s="74" t="n">
        <v>46284</v>
      </c>
      <c r="D20" s="75">
        <f>C20-B20+1</f>
        <v/>
      </c>
    </row>
    <row r="22" ht="15" customHeight="1" s="48">
      <c r="A22" s="104" t="inlineStr">
        <is>
          <t>Duración total del proyecto (días):</t>
        </is>
      </c>
      <c r="D22" s="104">
        <f>C20-B4+1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47" min="1" max="1"/>
    <col width="16" customWidth="1" style="47" min="2" max="2"/>
    <col width="30" customWidth="1" style="47" min="3" max="3"/>
  </cols>
  <sheetData>
    <row r="1" ht="21.75" customHeight="1" s="48">
      <c r="A1" s="55" t="inlineStr">
        <is>
          <t>Financiamiento — Préstamo y desglose de gastos</t>
        </is>
      </c>
    </row>
    <row r="3" ht="15" customHeight="1" s="48">
      <c r="A3" s="96" t="inlineStr">
        <is>
          <t>Desembolsos recibidos del prestamista</t>
        </is>
      </c>
    </row>
    <row r="4" ht="15" customHeight="1" s="48">
      <c r="A4" s="97" t="inlineStr">
        <is>
          <t>Pago #</t>
        </is>
      </c>
      <c r="B4" s="97" t="inlineStr">
        <is>
          <t>Monto</t>
        </is>
      </c>
    </row>
    <row r="5" ht="15" customHeight="1" s="48">
      <c r="A5" s="80" t="n">
        <v>1</v>
      </c>
      <c r="B5" s="81" t="n">
        <v>19300</v>
      </c>
    </row>
    <row r="6" ht="15" customHeight="1" s="48">
      <c r="A6" s="82" t="n">
        <v>2</v>
      </c>
      <c r="B6" s="83" t="n">
        <v>11150</v>
      </c>
    </row>
    <row r="7" ht="15" customHeight="1" s="48">
      <c r="A7" s="80" t="n">
        <v>3</v>
      </c>
      <c r="B7" s="81" t="n">
        <v>14250</v>
      </c>
    </row>
    <row r="9" ht="15" customHeight="1" s="48">
      <c r="A9" s="104" t="inlineStr">
        <is>
          <t>Monto del préstamo (referencia):</t>
        </is>
      </c>
      <c r="B9" s="84" t="n">
        <v>45000</v>
      </c>
    </row>
    <row r="10" ht="15" customHeight="1" s="48">
      <c r="A10" s="104" t="inlineStr">
        <is>
          <t>Saldo pendiente por recibir del préstamo:</t>
        </is>
      </c>
      <c r="B10" s="105">
        <f>B9-SUM(B5:B7)</f>
        <v/>
      </c>
    </row>
    <row r="13" ht="15" customHeight="1" s="48">
      <c r="A13" s="96" t="inlineStr">
        <is>
          <t>Desglose de gastos (uso de los $45,000)</t>
        </is>
      </c>
    </row>
    <row r="14" ht="15" customHeight="1" s="48">
      <c r="A14" s="97" t="inlineStr">
        <is>
          <t>Concepto</t>
        </is>
      </c>
      <c r="B14" s="97" t="inlineStr">
        <is>
          <t>Monto</t>
        </is>
      </c>
      <c r="C14" s="97" t="inlineStr">
        <is>
          <t>Notas</t>
        </is>
      </c>
    </row>
    <row r="15" ht="15" customHeight="1" s="48">
      <c r="A15" s="98" t="inlineStr">
        <is>
          <t>Inspección de plomería</t>
        </is>
      </c>
      <c r="B15" s="99" t="n">
        <v>450</v>
      </c>
      <c r="C15" s="100" t="n"/>
    </row>
    <row r="16" ht="15" customHeight="1" s="48">
      <c r="A16" s="101" t="inlineStr">
        <is>
          <t>Fundación (pago inicial)</t>
        </is>
      </c>
      <c r="B16" s="102" t="n">
        <v>5000</v>
      </c>
      <c r="C16" s="103" t="n"/>
    </row>
    <row r="17" ht="23.85" customHeight="1" s="48">
      <c r="A17" s="98" t="inlineStr">
        <is>
          <t>Pepe — instalación de cerámica (baños, chimenea, entrada y cocina)</t>
        </is>
      </c>
      <c r="B17" s="99" t="n">
        <v>6270</v>
      </c>
      <c r="C17" s="100" t="n"/>
    </row>
    <row r="18" ht="15" customHeight="1" s="48">
      <c r="A18" s="101" t="inlineStr">
        <is>
          <t>Martín — pintura interior y exterior, incluyendo la cerca</t>
        </is>
      </c>
      <c r="B18" s="102" t="n">
        <v>4000</v>
      </c>
      <c r="C18" s="103" t="inlineStr">
        <is>
          <t>Aproximado</t>
        </is>
      </c>
    </row>
    <row r="19" ht="15" customHeight="1" s="48">
      <c r="A19" s="98" t="inlineStr">
        <is>
          <t>Edgar — 2 días de trabajo</t>
        </is>
      </c>
      <c r="B19" s="99" t="n">
        <v>400</v>
      </c>
      <c r="C19" s="100" t="n"/>
    </row>
    <row r="20" ht="15" customHeight="1" s="48">
      <c r="A20" s="101" t="inlineStr">
        <is>
          <t>Materiales — piso y trim/molduras</t>
        </is>
      </c>
      <c r="B20" s="102" t="n">
        <v>3500</v>
      </c>
      <c r="C20" s="103" t="inlineStr">
        <is>
          <t>Aproximado</t>
        </is>
      </c>
    </row>
    <row r="21" ht="15" customHeight="1" s="48">
      <c r="A21" s="98" t="inlineStr">
        <is>
          <t>Recibos Home Depot (tarjeta de negocio, del 7/28 a la fecha)</t>
        </is>
      </c>
      <c r="B21" s="99" t="n">
        <v>5100</v>
      </c>
      <c r="C21" s="100" t="inlineStr">
        <is>
          <t>Aproximado</t>
        </is>
      </c>
    </row>
    <row r="22" ht="15" customHeight="1" s="48">
      <c r="A22" s="101" t="inlineStr">
        <is>
          <t>Compras en línea (Amazon y TikTok)</t>
        </is>
      </c>
      <c r="B22" s="102" t="n">
        <v>1156</v>
      </c>
      <c r="C22" s="103" t="inlineStr">
        <is>
          <t>Aproximado</t>
        </is>
      </c>
    </row>
    <row r="23" ht="15" customHeight="1" s="48">
      <c r="A23" s="98" t="inlineStr">
        <is>
          <t>Trabajo exterior de jardinería</t>
        </is>
      </c>
      <c r="B23" s="99" t="n">
        <v>1000</v>
      </c>
      <c r="C23" s="100" t="inlineStr">
        <is>
          <t>Aproximado</t>
        </is>
      </c>
    </row>
    <row r="24" ht="15" customHeight="1" s="48">
      <c r="A24" s="101" t="inlineStr">
        <is>
          <t>Pago a la casa 1</t>
        </is>
      </c>
      <c r="B24" s="102" t="n">
        <v>3450</v>
      </c>
      <c r="C24" s="103" t="inlineStr">
        <is>
          <t>Concepto por confirmar</t>
        </is>
      </c>
    </row>
    <row r="25" ht="15" customHeight="1" s="48">
      <c r="A25" s="98" t="inlineStr">
        <is>
          <t>Pago a la casa 2</t>
        </is>
      </c>
      <c r="B25" s="99" t="n">
        <v>3450</v>
      </c>
      <c r="C25" s="100" t="inlineStr">
        <is>
          <t>Concepto por confirmar</t>
        </is>
      </c>
    </row>
    <row r="26" ht="15" customHeight="1" s="48">
      <c r="A26" s="101" t="inlineStr">
        <is>
          <t>Agua — mes actual</t>
        </is>
      </c>
      <c r="B26" s="102" t="n">
        <v>220</v>
      </c>
      <c r="C26" s="103" t="n"/>
    </row>
    <row r="27" ht="15" customHeight="1" s="48">
      <c r="A27" s="98" t="inlineStr">
        <is>
          <t>Agua — mes pasado</t>
        </is>
      </c>
      <c r="B27" s="99" t="n">
        <v>199</v>
      </c>
      <c r="C27" s="100" t="n"/>
    </row>
    <row r="28" ht="15" customHeight="1" s="48">
      <c r="A28" s="101" t="inlineStr">
        <is>
          <t>Electricidad</t>
        </is>
      </c>
      <c r="B28" s="102" t="n">
        <v>170</v>
      </c>
      <c r="C28" s="103" t="inlineStr">
        <is>
          <t>Aproximado</t>
        </is>
      </c>
    </row>
    <row r="29" ht="15" customHeight="1" s="48">
      <c r="A29" s="98" t="inlineStr">
        <is>
          <t>Pago a Leo</t>
        </is>
      </c>
      <c r="B29" s="99" t="n">
        <v>1000</v>
      </c>
      <c r="C29" s="100" t="n"/>
    </row>
    <row r="30" ht="15" customHeight="1" s="48">
      <c r="A30" s="101" t="inlineStr">
        <is>
          <t>Pago a Ernesto</t>
        </is>
      </c>
      <c r="B30" s="102" t="n">
        <v>1000</v>
      </c>
      <c r="C30" s="103" t="n"/>
    </row>
    <row r="31" ht="15" customHeight="1" s="48">
      <c r="A31" s="98" t="inlineStr">
        <is>
          <t>Álvaro — materiales, pinturas y objetos</t>
        </is>
      </c>
      <c r="B31" s="99" t="n">
        <v>530</v>
      </c>
      <c r="C31" s="100" t="inlineStr">
        <is>
          <t>Aproximado</t>
        </is>
      </c>
    </row>
    <row r="32" ht="15" customHeight="1" s="48">
      <c r="A32" s="101" t="inlineStr">
        <is>
          <t>Compras en línea (tarjeta personal)</t>
        </is>
      </c>
      <c r="B32" s="102" t="n">
        <v>500</v>
      </c>
      <c r="C32" s="103" t="inlineStr">
        <is>
          <t>Aproximado</t>
        </is>
      </c>
    </row>
    <row r="33" ht="15" customHeight="1" s="48">
      <c r="A33" s="98" t="inlineStr">
        <is>
          <t>Home Depot (tarjeta personal)</t>
        </is>
      </c>
      <c r="B33" s="99" t="n">
        <v>434</v>
      </c>
      <c r="C33" s="100" t="n"/>
    </row>
    <row r="34" ht="15" customHeight="1" s="48">
      <c r="A34" s="101" t="inlineStr">
        <is>
          <t>Gabinetes de cocina y 2 baños</t>
        </is>
      </c>
      <c r="B34" s="102" t="n">
        <v>3588</v>
      </c>
      <c r="C34" s="103" t="inlineStr">
        <is>
          <t>Aproximado</t>
        </is>
      </c>
    </row>
    <row r="35" ht="15" customHeight="1" s="48">
      <c r="A35" s="98" t="inlineStr">
        <is>
          <t>Meseta de cuarzo (cocina y baños)</t>
        </is>
      </c>
      <c r="B35" s="99" t="n">
        <v>2400</v>
      </c>
      <c r="C35" s="100" t="n"/>
    </row>
    <row r="36" ht="35.05" customHeight="1" s="48">
      <c r="A36" s="101" t="inlineStr">
        <is>
          <t>Materiales varios — bolsas de basura, llavines de puertas, pintura, primer, techos, paredes, lámparas, buzón exterior, materiales de reparación (masilla, tape, lija, etc.)</t>
        </is>
      </c>
      <c r="B36" s="102" t="n">
        <v>1183</v>
      </c>
      <c r="C36" s="103" t="inlineStr">
        <is>
          <t>Aproximado</t>
        </is>
      </c>
    </row>
    <row r="37" ht="15" customHeight="1" s="48">
      <c r="A37" s="104" t="inlineStr">
        <is>
          <t>Total desglosado hasta el momento</t>
        </is>
      </c>
      <c r="B37" s="105">
        <f>SUM(B15:B36)</f>
        <v/>
      </c>
    </row>
    <row r="38" ht="15" customHeight="1" s="48">
      <c r="A38" s="104" t="inlineStr">
        <is>
          <t>Restante por desglosar (de los $45,000)</t>
        </is>
      </c>
      <c r="B38" s="105">
        <f>45000-B37</f>
        <v/>
      </c>
    </row>
    <row r="40" ht="15" customHeight="1" s="48">
      <c r="A40" s="90" t="inlineStr">
        <is>
          <t>✓ Desglose de los $45,000 del préstamo verificado y completo (100% justificado). Los pagos adicionales de abajo quedan fuera de este préstamo.</t>
        </is>
      </c>
      <c r="B40" s="91" t="n"/>
      <c r="C40" s="92" t="n"/>
    </row>
    <row r="41" ht="15" customHeight="1" s="48">
      <c r="A41" s="93" t="n"/>
      <c r="B41" s="94" t="n"/>
      <c r="C41" s="95" t="n"/>
    </row>
    <row r="43">
      <c r="A43" s="96" t="inlineStr">
        <is>
          <t>Pagos adicionales (fuera de los $45,000 del préstamo)</t>
        </is>
      </c>
    </row>
    <row r="44">
      <c r="A44" s="97" t="inlineStr">
        <is>
          <t>Concepto</t>
        </is>
      </c>
      <c r="B44" s="97" t="inlineStr">
        <is>
          <t>Monto</t>
        </is>
      </c>
      <c r="C44" s="97" t="inlineStr">
        <is>
          <t>Notas</t>
        </is>
      </c>
    </row>
    <row r="45">
      <c r="A45" s="98" t="inlineStr">
        <is>
          <t>Pago extra de la casa</t>
        </is>
      </c>
      <c r="B45" s="99" t="n">
        <v>3450</v>
      </c>
      <c r="C45" s="100" t="inlineStr">
        <is>
          <t>Pago adicional</t>
        </is>
      </c>
    </row>
    <row r="46">
      <c r="A46" s="101" t="inlineStr">
        <is>
          <t>Gas</t>
        </is>
      </c>
      <c r="B46" s="102" t="n"/>
      <c r="C46" s="103" t="inlineStr">
        <is>
          <t>Monto por definir</t>
        </is>
      </c>
    </row>
    <row r="47">
      <c r="A47" s="98" t="inlineStr">
        <is>
          <t>Instalación</t>
        </is>
      </c>
      <c r="B47" s="99" t="n"/>
      <c r="C47" s="100" t="inlineStr">
        <is>
          <t>Monto por definir (confirmar a qué se refiere)</t>
        </is>
      </c>
    </row>
    <row r="48">
      <c r="A48" s="101" t="inlineStr">
        <is>
          <t>Agua</t>
        </is>
      </c>
      <c r="B48" s="102" t="n"/>
      <c r="C48" s="103" t="inlineStr">
        <is>
          <t>Monto por definir</t>
        </is>
      </c>
    </row>
    <row r="49">
      <c r="A49" s="98" t="inlineStr">
        <is>
          <t>Luz</t>
        </is>
      </c>
      <c r="B49" s="99" t="n"/>
      <c r="C49" s="100" t="inlineStr">
        <is>
          <t>Monto por definir</t>
        </is>
      </c>
    </row>
    <row r="50">
      <c r="A50" s="101" t="inlineStr">
        <is>
          <t>Inspección de plomería (dinero destinado)</t>
        </is>
      </c>
      <c r="B50" s="102" t="n">
        <v>800</v>
      </c>
      <c r="C50" s="103" t="inlineStr">
        <is>
          <t>Adicional a los $450 ya pagados el 30/jul</t>
        </is>
      </c>
    </row>
    <row r="51">
      <c r="A51" s="104" t="inlineStr">
        <is>
          <t>Subtotal pagos adicionales (montos conocidos)</t>
        </is>
      </c>
      <c r="B51" s="105">
        <f>SUM(B45:B50)</f>
        <v/>
      </c>
    </row>
    <row r="52">
      <c r="A52" s="104" t="inlineStr">
        <is>
          <t>Total gastos (desglose original + adicionales)</t>
        </is>
      </c>
      <c r="B52" s="105">
        <f>B37+B51</f>
        <v/>
      </c>
    </row>
    <row r="53">
      <c r="A53" s="104" t="inlineStr">
        <is>
          <t>Diferencia vs. préstamo de $45,000 (negativo = excede)</t>
        </is>
      </c>
      <c r="B53" s="105">
        <f>45000-B52</f>
        <v/>
      </c>
    </row>
  </sheetData>
  <mergeCells count="2">
    <mergeCell ref="A1:C1"/>
    <mergeCell ref="A40:C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7" min="1" max="1"/>
    <col width="18" customWidth="1" style="47" min="2" max="2"/>
    <col width="20" customWidth="1" style="47" min="3" max="3"/>
    <col width="18" customWidth="1" style="47" min="4" max="5"/>
  </cols>
  <sheetData>
    <row r="1" ht="21.75" customHeight="1" s="48">
      <c r="A1" s="55" t="inlineStr">
        <is>
          <t>Estudio de Ganancia — Compra, Venta y División</t>
        </is>
      </c>
    </row>
    <row r="2" ht="15" customHeight="1" s="48">
      <c r="A2" s="106" t="inlineStr">
        <is>
          <t>Celdas en dorado claro son editables (% financiado, tasa de interés, fecha de venta, precio de venta, tasa de impuesto, % de división) — los totales se recalculan solos.</t>
        </is>
      </c>
    </row>
    <row r="4" ht="15" customHeight="1" s="48">
      <c r="A4" s="96" t="inlineStr">
        <is>
          <t>Sección A — Estructura de la compra</t>
        </is>
      </c>
    </row>
    <row r="5" ht="15" customHeight="1" s="48">
      <c r="A5" s="104" t="inlineStr">
        <is>
          <t>Precio de compra de la propiedad:</t>
        </is>
      </c>
      <c r="B5" s="107" t="n">
        <v>315000</v>
      </c>
    </row>
    <row r="6" ht="15" customHeight="1" s="48">
      <c r="A6" s="104" t="inlineStr">
        <is>
          <t>Enganche pagado por Leo (30% aprox., de su bolsillo):</t>
        </is>
      </c>
      <c r="B6" s="108" t="n">
        <v>30200</v>
      </c>
    </row>
    <row r="7" ht="15" customHeight="1" s="48">
      <c r="A7" s="104" t="inlineStr">
        <is>
          <t>Préstamo de compra (resto, financiado por el prestamista):</t>
        </is>
      </c>
      <c r="B7" s="105">
        <f>B5-B6</f>
        <v/>
      </c>
    </row>
    <row r="8" ht="15" customHeight="1" s="48">
      <c r="A8" s="52" t="inlineStr">
        <is>
          <t>% Financiado por el prestamista (referencia):</t>
        </is>
      </c>
      <c r="B8" s="109">
        <f>B7/B5</f>
        <v/>
      </c>
    </row>
    <row r="10" ht="15" customHeight="1" s="48">
      <c r="A10" s="96" t="inlineStr">
        <is>
          <t>Sección B — Costos de cierre y búsqueda de la propiedad</t>
        </is>
      </c>
    </row>
    <row r="11" ht="15" customHeight="1" s="48">
      <c r="A11" s="104" t="inlineStr">
        <is>
          <t>Gastos de cierre adicionales 1 (pagado por Leo, de su bolsillo):</t>
        </is>
      </c>
      <c r="B11" s="107" t="n">
        <v>1400</v>
      </c>
    </row>
    <row r="12" ht="15" customHeight="1" s="48">
      <c r="A12" s="104" t="inlineStr">
        <is>
          <t>Costo de cierre y búsqueda de la propiedad (pagado por Leo, de su bolsillo):</t>
        </is>
      </c>
      <c r="B12" s="107" t="n">
        <v>7500</v>
      </c>
    </row>
    <row r="13" ht="15" customHeight="1" s="48">
      <c r="A13" s="104" t="inlineStr">
        <is>
          <t>Total aportado por Leo de su bolsillo (cierre):</t>
        </is>
      </c>
      <c r="B13" s="105">
        <f>B11+B12</f>
        <v/>
      </c>
    </row>
    <row r="14" ht="15" customHeight="1" s="48">
      <c r="A14" s="104" t="inlineStr">
        <is>
          <t>Total aportado por Leo en total (enganche + cierre):</t>
        </is>
      </c>
      <c r="B14" s="108">
        <f>B6+B13</f>
        <v/>
      </c>
    </row>
    <row r="16" ht="15" customHeight="1" s="48">
      <c r="A16" s="96" t="inlineStr">
        <is>
          <t>Sección C — Financiamiento del prestamista e interés</t>
        </is>
      </c>
    </row>
    <row r="17" ht="15" customHeight="1" s="48">
      <c r="A17" s="104" t="inlineStr">
        <is>
          <t>Préstamo de remodelación (referencia):</t>
        </is>
      </c>
      <c r="B17" s="107">
        <f>Financiamiento!B9</f>
        <v/>
      </c>
    </row>
    <row r="18" ht="15" customHeight="1" s="48">
      <c r="A18" s="104" t="inlineStr">
        <is>
          <t>Total prestado por el prestamista (compra + remodelación):</t>
        </is>
      </c>
      <c r="B18" s="105">
        <f>B7+B17</f>
        <v/>
      </c>
    </row>
    <row r="19" ht="15" customHeight="1" s="48">
      <c r="A19" s="104" t="inlineStr">
        <is>
          <t>Tasa de interés anual:</t>
        </is>
      </c>
      <c r="B19" s="110" t="n">
        <v>0.12</v>
      </c>
    </row>
    <row r="20" ht="15" customHeight="1" s="48">
      <c r="A20" s="104" t="inlineStr">
        <is>
          <t>Fecha de firma de contrato (referencia):</t>
        </is>
      </c>
      <c r="B20" s="53">
        <f>Resumen!B7</f>
        <v/>
      </c>
    </row>
    <row r="21" ht="15" customHeight="1" s="48">
      <c r="A21" s="104" t="inlineStr">
        <is>
          <t>Fecha estimada de venta / pago del préstamo:</t>
        </is>
      </c>
      <c r="B21" s="111" t="n">
        <v>46285</v>
      </c>
      <c r="C21" s="112" t="inlineStr">
        <is>
          <t>Meta: 2 meses y 7 días de obra — vender lo antes posible para no seguir pagando interés</t>
        </is>
      </c>
    </row>
    <row r="22" ht="15" customHeight="1" s="48">
      <c r="A22" s="104" t="inlineStr">
        <is>
          <t>Días del préstamo (contrato a venta):</t>
        </is>
      </c>
      <c r="B22" s="113">
        <f>B21-B20</f>
        <v/>
      </c>
    </row>
    <row r="23" ht="15" customHeight="1" s="48">
      <c r="A23" s="104" t="inlineStr">
        <is>
          <t>Interés estimado (simple, sobre el total prestado):</t>
        </is>
      </c>
      <c r="B23" s="105">
        <f>B18*B19*B22/365</f>
        <v/>
      </c>
      <c r="C23" s="112" t="inlineStr">
        <is>
          <t>Estimado — el interés real depende de las fechas exactas de cada desembolso</t>
        </is>
      </c>
    </row>
    <row r="25" ht="15" customHeight="1" s="48">
      <c r="A25" s="96" t="inlineStr">
        <is>
          <t>Sección D — Deudas a liquidar al momento de la venta</t>
        </is>
      </c>
    </row>
    <row r="26" ht="15" customHeight="1" s="48">
      <c r="A26" s="52" t="inlineStr">
        <is>
          <t>Enganche a recuperar:</t>
        </is>
      </c>
      <c r="B26" s="107">
        <f>B6</f>
        <v/>
      </c>
    </row>
    <row r="27" ht="15" customHeight="1" s="48">
      <c r="A27" s="52" t="inlineStr">
        <is>
          <t>Reembolso a Leo (gastos de cierre de su bolsillo):</t>
        </is>
      </c>
      <c r="B27" s="107">
        <f>B13</f>
        <v/>
      </c>
    </row>
    <row r="28" ht="15" customHeight="1" s="48">
      <c r="A28" s="52" t="inlineStr">
        <is>
          <t>Pago a prestamistas — total adeudado (capital + interés):</t>
        </is>
      </c>
      <c r="B28" s="116" t="n">
        <v>345000</v>
      </c>
      <c r="C28" t="inlineStr">
        <is>
          <t>Monto indicado: se debe $345,000 al vender</t>
        </is>
      </c>
    </row>
    <row r="29" ht="15" customHeight="1" s="48">
      <c r="A29" s="52" t="inlineStr">
        <is>
          <t>Gastos de venta (realtors y cierre):</t>
        </is>
      </c>
      <c r="B29" s="116" t="n">
        <v>46000</v>
      </c>
      <c r="C29" t="inlineStr">
        <is>
          <t>Monto indicado: ~$46,000 (comisiones de realtors y gastos de cierre)</t>
        </is>
      </c>
    </row>
    <row r="30" ht="15" customHeight="1" s="48">
      <c r="A30" s="52" t="inlineStr">
        <is>
          <t>Pagos adicionales pendientes (pago extra de la casa + plomería):</t>
        </is>
      </c>
      <c r="B30" s="107">
        <f>Financiamiento!B51</f>
        <v/>
      </c>
      <c r="C30" t="inlineStr">
        <is>
          <t>Ver hoja Financiamiento; gas, instalación, agua y luz por definir</t>
        </is>
      </c>
    </row>
    <row r="31" ht="15" customHeight="1" s="48">
      <c r="A31" s="104" t="inlineStr">
        <is>
          <t>Total a liquidar antes de calcular ganancia:</t>
        </is>
      </c>
      <c r="B31" s="105">
        <f>SUM(B26:B30)</f>
        <v/>
      </c>
    </row>
    <row r="33" ht="15" customHeight="1" s="48">
      <c r="A33" s="96" t="inlineStr">
        <is>
          <t>Sección E — Venta y ganancia estimada</t>
        </is>
      </c>
    </row>
    <row r="34" ht="15" customHeight="1" s="48">
      <c r="A34" s="104" t="inlineStr">
        <is>
          <t>Precio de venta estimado:</t>
        </is>
      </c>
      <c r="B34" s="108" t="n">
        <v>458000</v>
      </c>
    </row>
    <row r="35" ht="15" customHeight="1" s="48">
      <c r="A35" s="104" t="inlineStr">
        <is>
          <t>Ganancia bruta antes de impuestos:</t>
        </is>
      </c>
      <c r="B35" s="105">
        <f>B34-B31</f>
        <v/>
      </c>
    </row>
    <row r="36" ht="15" customHeight="1" s="48">
      <c r="A36" s="104" t="inlineStr">
        <is>
          <t>Tasa de impuesto sobre ganancia de la compañía:</t>
        </is>
      </c>
      <c r="B36" s="114" t="n">
        <v>0.21</v>
      </c>
      <c r="C36" s="112" t="inlineStr">
        <is>
          <t>Tasa corporativa federal EE.UU. — ajústala aquí si tu contador te da otra tasa</t>
        </is>
      </c>
    </row>
    <row r="37" ht="15" customHeight="1" s="48">
      <c r="A37" s="52" t="inlineStr">
        <is>
          <t>Impuesto estimado:</t>
        </is>
      </c>
      <c r="B37" s="107">
        <f>B35*B36</f>
        <v/>
      </c>
    </row>
    <row r="38" ht="15" customHeight="1" s="48">
      <c r="A38" s="104" t="inlineStr">
        <is>
          <t>Ganancia neta después de impuestos:</t>
        </is>
      </c>
      <c r="B38" s="108">
        <f>B35-B37</f>
        <v/>
      </c>
    </row>
    <row r="40" ht="15" customHeight="1" s="48">
      <c r="A40" s="96" t="inlineStr">
        <is>
          <t>Sección F — División de la ganancia neta (Ernesto y Leo)</t>
        </is>
      </c>
    </row>
    <row r="41" ht="15" customHeight="1" s="48">
      <c r="A41" s="52" t="inlineStr">
        <is>
          <t>% Ernesto:</t>
        </is>
      </c>
      <c r="B41" s="110" t="n">
        <v>0.5</v>
      </c>
    </row>
    <row r="42" ht="15" customHeight="1" s="48">
      <c r="A42" s="52" t="inlineStr">
        <is>
          <t>% Leo:</t>
        </is>
      </c>
      <c r="B42" s="110" t="n">
        <v>0.5</v>
      </c>
    </row>
    <row r="43" ht="15" customHeight="1" s="48">
      <c r="A43" s="104" t="inlineStr">
        <is>
          <t>Ganancia para Ernesto:</t>
        </is>
      </c>
      <c r="B43" s="105">
        <f>B38*B41</f>
        <v/>
      </c>
    </row>
    <row r="44" ht="15" customHeight="1" s="48">
      <c r="A44" s="104" t="inlineStr">
        <is>
          <t>Ganancia para Leo:</t>
        </is>
      </c>
      <c r="B44" s="105">
        <f>B38*B42</f>
        <v/>
      </c>
    </row>
    <row r="46" ht="15" customHeight="1" s="48">
      <c r="A46" s="54" t="inlineStr">
        <is>
          <t>Nota: esta división es sobre la ganancia neta después de impuestos. Antes de calcularla se descuentan, en la Sección D: el enganche y el reembolso de $8,900 a Leo, el total adeudado a los prestamistas ($345,000, capital + interés), los gastos de venta ($46,000, realtors y cierre) y los pagos adicionales pendientes. No forman parte del 50/50.</t>
        </is>
      </c>
    </row>
    <row r="47" ht="15" customHeight="1" s="48"/>
    <row r="49" ht="15" customHeight="1" s="48">
      <c r="A49" s="96" t="inlineStr">
        <is>
          <t>Sección G — Escenarios de venta (posibilidades)</t>
        </is>
      </c>
    </row>
    <row r="50" ht="15" customHeight="1" s="48">
      <c r="A50" s="115" t="inlineStr">
        <is>
          <t>Precio de venta</t>
        </is>
      </c>
      <c r="B50" s="115" t="inlineStr">
        <is>
          <t>Ganancia bruta</t>
        </is>
      </c>
      <c r="C50" s="115" t="inlineStr">
        <is>
          <t>Impuesto</t>
        </is>
      </c>
      <c r="D50" s="115" t="inlineStr">
        <is>
          <t>Ganancia neta</t>
        </is>
      </c>
      <c r="E50" s="115" t="inlineStr">
        <is>
          <t>Cada socio (50%)</t>
        </is>
      </c>
    </row>
    <row r="51" ht="15" customHeight="1" s="48">
      <c r="A51" s="81" t="n">
        <v>430000</v>
      </c>
      <c r="B51" s="81">
        <f>A51-B31</f>
        <v/>
      </c>
      <c r="C51" s="81">
        <f>B51*B36</f>
        <v/>
      </c>
      <c r="D51" s="81">
        <f>B51-C51</f>
        <v/>
      </c>
      <c r="E51" s="81">
        <f>D51*B41</f>
        <v/>
      </c>
    </row>
    <row r="52" ht="15" customHeight="1" s="48">
      <c r="A52" s="81" t="n">
        <v>445000</v>
      </c>
      <c r="B52" s="81">
        <f>A52-B31</f>
        <v/>
      </c>
      <c r="C52" s="81">
        <f>B52*B36</f>
        <v/>
      </c>
      <c r="D52" s="81">
        <f>B52-C52</f>
        <v/>
      </c>
      <c r="E52" s="81">
        <f>D52*B41</f>
        <v/>
      </c>
    </row>
    <row r="53" ht="15" customHeight="1" s="48">
      <c r="A53" s="83" t="n">
        <v>458000</v>
      </c>
      <c r="B53" s="83">
        <f>A53-B31</f>
        <v/>
      </c>
      <c r="C53" s="83">
        <f>B53*B36</f>
        <v/>
      </c>
      <c r="D53" s="83">
        <f>B53-C53</f>
        <v/>
      </c>
      <c r="E53" s="83">
        <f>D53*B41</f>
        <v/>
      </c>
    </row>
    <row r="54" ht="15" customHeight="1" s="48">
      <c r="A54" s="81" t="n">
        <v>470000</v>
      </c>
      <c r="B54" s="81">
        <f>A54-B31</f>
        <v/>
      </c>
      <c r="C54" s="81">
        <f>B54*B36</f>
        <v/>
      </c>
      <c r="D54" s="81">
        <f>B54-C54</f>
        <v/>
      </c>
      <c r="E54" s="81">
        <f>D54*B41</f>
        <v/>
      </c>
    </row>
    <row r="55" ht="15" customHeight="1" s="48">
      <c r="A55" s="81" t="n">
        <v>485000</v>
      </c>
      <c r="B55" s="81">
        <f>A55-B31</f>
        <v/>
      </c>
      <c r="C55" s="81">
        <f>B55*B36</f>
        <v/>
      </c>
      <c r="D55" s="81">
        <f>B55-C55</f>
        <v/>
      </c>
      <c r="E55" s="81">
        <f>D55*B41</f>
        <v/>
      </c>
    </row>
    <row r="57" ht="15" customHeight="1" s="48">
      <c r="A57" s="54" t="inlineStr">
        <is>
          <t>La fila resaltada en dorado corresponde al precio de venta real ($458,000). Cambia cualquier precio de la columna A, los gastos o la tasa de impuesto y toda la tabla se recalcula.</t>
        </is>
      </c>
    </row>
    <row r="58" ht="15" customHeight="1" s="48"/>
  </sheetData>
  <mergeCells count="4">
    <mergeCell ref="A2:E2"/>
    <mergeCell ref="A46:E47"/>
    <mergeCell ref="A1:E1"/>
    <mergeCell ref="A57:E5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2026-09-22T15:29:05Z</dcterms:created>
  <dcterms:modified xmlns:dcterms="http://purl.org/dc/terms/" xmlns:xsi="http://www.w3.org/2001/XMLSchema-instance" xsi:type="dcterms:W3CDTF">2026-10-26T00:13:35Z</dcterms:modified>
  <cp:revision>0</cp:revision>
</cp:coreProperties>
</file>